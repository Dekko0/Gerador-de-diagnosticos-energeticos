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kko\Downloads\"/>
    </mc:Choice>
  </mc:AlternateContent>
  <xr:revisionPtr revIDLastSave="0" documentId="13_ncr:1_{E8888681-33D2-4800-ADDB-B47C8D1540D9}" xr6:coauthVersionLast="47" xr6:coauthVersionMax="47" xr10:uidLastSave="{00000000-0000-0000-0000-000000000000}"/>
  <bookViews>
    <workbookView xWindow="28680" yWindow="-1920" windowWidth="11760" windowHeight="20010" tabRatio="757" xr2:uid="{00000000-000D-0000-FFFF-FFFF00000000}"/>
  </bookViews>
  <sheets>
    <sheet name="Tabela de Transferência" sheetId="16" r:id="rId1"/>
    <sheet name="FATURAS" sheetId="5" r:id="rId2"/>
    <sheet name="UC_DADOS" sheetId="1" r:id="rId3"/>
    <sheet name="Sistemas de Cond. Ambiental" sheetId="9" r:id="rId4"/>
    <sheet name="Sistemas de Refrigeração" sheetId="10" r:id="rId5"/>
    <sheet name="Sistemas de Iluminação" sheetId="11" r:id="rId6"/>
    <sheet name="Sistemas de Motor" sheetId="12" r:id="rId7"/>
    <sheet name="Sistemas de Aquecimento de Água" sheetId="14" r:id="rId8"/>
    <sheet name="Sistemas Solar Fotovoltaico" sheetId="15" r:id="rId9"/>
    <sheet name="Sistemas Outros" sheetId="13" r:id="rId10"/>
    <sheet name="TABELAS_RESUMO_2" sheetId="4" r:id="rId11"/>
    <sheet name="TABELAS_RESUMO" sheetId="3" r:id="rId12"/>
    <sheet name="CONSUMO_EQP" sheetId="7" r:id="rId13"/>
    <sheet name="Análise Econômica" sheetId="6" r:id="rId14"/>
    <sheet name="EQUIPAMENTOS_EFICIENTES (BDD)" sheetId="8" r:id="rId15"/>
  </sheets>
  <externalReferences>
    <externalReference r:id="rId16"/>
  </externalReferences>
  <definedNames>
    <definedName name="_xlnm._FilterDatabase" localSheetId="3" hidden="1">'Sistemas de Cond. Ambiental'!$A$2:$AO$9</definedName>
    <definedName name="_xlnm._FilterDatabase" localSheetId="5" hidden="1">'Sistemas de Iluminação'!$A$2:$AH$24</definedName>
    <definedName name="_xlnm._FilterDatabase" localSheetId="4" hidden="1">'Sistemas de Refrigeração'!$A$1:$AK$10</definedName>
    <definedName name="_xlnm.Print_Area" localSheetId="3">'Sistemas de Cond. Ambiental'!$A$1:$U$9</definedName>
    <definedName name="celpeCEE">'[1]@Referência'!$K$16:$K$18</definedName>
    <definedName name="ListaSimNao">'[1]@Referência'!$A$30:$A$31</definedName>
    <definedName name="Modalidade">'[1]@Referência'!$J$2:$J$6</definedName>
    <definedName name="tipoCELPE">'[1]@Referência'!$N$14:$N$18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1" l="1"/>
  <c r="E12" i="6"/>
  <c r="D13" i="6"/>
  <c r="B38" i="1" a="1"/>
  <c r="B38" i="1" s="1"/>
  <c r="E230" i="16" l="1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1" i="16"/>
  <c r="E140" i="16"/>
  <c r="E139" i="16"/>
  <c r="E138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58" i="16"/>
  <c r="E57" i="16"/>
  <c r="E56" i="16"/>
  <c r="E55" i="16"/>
  <c r="E54" i="16"/>
  <c r="E52" i="16"/>
  <c r="E51" i="16"/>
  <c r="E50" i="16"/>
  <c r="E49" i="16"/>
  <c r="E48" i="16"/>
  <c r="E47" i="16"/>
  <c r="E46" i="16"/>
  <c r="E45" i="16"/>
  <c r="E44" i="16"/>
  <c r="E43" i="16"/>
  <c r="E60" i="16" s="1"/>
  <c r="E42" i="16"/>
  <c r="E59" i="16" s="1"/>
  <c r="E41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6" i="16"/>
  <c r="E7" i="16" s="1"/>
  <c r="E4" i="16"/>
  <c r="E8" i="16" s="1"/>
  <c r="E3" i="16"/>
  <c r="E9" i="16" s="1"/>
  <c r="E2" i="16"/>
  <c r="E5" i="16" s="1"/>
  <c r="I48" i="1" a="1"/>
  <c r="I48" i="1" s="1"/>
  <c r="H48" i="1" a="1"/>
  <c r="H48" i="1" s="1"/>
  <c r="I47" i="1" a="1"/>
  <c r="I47" i="1" s="1"/>
  <c r="H47" i="1" a="1"/>
  <c r="H47" i="1" s="1"/>
  <c r="I46" i="1" a="1"/>
  <c r="I46" i="1" s="1"/>
  <c r="H46" i="1" a="1"/>
  <c r="H46" i="1" s="1"/>
  <c r="I45" i="1" a="1"/>
  <c r="I45" i="1" s="1"/>
  <c r="H45" i="1" a="1"/>
  <c r="H45" i="1" s="1"/>
  <c r="I44" i="1" a="1"/>
  <c r="I44" i="1" s="1"/>
  <c r="H44" i="1" a="1"/>
  <c r="H44" i="1" s="1"/>
  <c r="I43" i="1" a="1"/>
  <c r="I43" i="1" s="1"/>
  <c r="H43" i="1" a="1"/>
  <c r="H43" i="1" s="1"/>
  <c r="I42" i="1" a="1"/>
  <c r="I42" i="1" s="1"/>
  <c r="H42" i="1" a="1"/>
  <c r="H42" i="1" s="1"/>
  <c r="I41" i="1" a="1"/>
  <c r="I41" i="1" s="1"/>
  <c r="H41" i="1" a="1"/>
  <c r="H41" i="1" s="1"/>
  <c r="I40" i="1" a="1"/>
  <c r="I40" i="1" s="1"/>
  <c r="H40" i="1" a="1"/>
  <c r="H40" i="1" s="1"/>
  <c r="I39" i="1" a="1"/>
  <c r="I39" i="1" s="1"/>
  <c r="H39" i="1" a="1"/>
  <c r="H39" i="1" s="1"/>
  <c r="I38" i="1" a="1"/>
  <c r="I38" i="1" s="1"/>
  <c r="H38" i="1" a="1"/>
  <c r="H38" i="1" s="1"/>
  <c r="I37" i="1" a="1"/>
  <c r="I37" i="1" s="1"/>
  <c r="H37" i="1" a="1"/>
  <c r="H37" i="1" s="1"/>
  <c r="B2" i="1"/>
  <c r="B33" i="1"/>
  <c r="E40" i="16" l="1"/>
  <c r="G19" i="13"/>
  <c r="AI24" i="11"/>
  <c r="AH24" i="11"/>
  <c r="AG24" i="11"/>
  <c r="X24" i="11"/>
  <c r="Q24" i="11"/>
  <c r="J24" i="11"/>
  <c r="G24" i="11"/>
  <c r="P19" i="13"/>
  <c r="I19" i="13"/>
  <c r="AI10" i="10"/>
  <c r="AF10" i="10"/>
  <c r="AH10" i="10"/>
  <c r="Y10" i="10"/>
  <c r="X10" i="10"/>
  <c r="S10" i="10"/>
  <c r="R10" i="10"/>
  <c r="J10" i="10"/>
  <c r="K10" i="10"/>
  <c r="AD24" i="11"/>
  <c r="U24" i="11"/>
  <c r="F19" i="13"/>
  <c r="L11" i="13"/>
  <c r="O11" i="13"/>
  <c r="P11" i="13"/>
  <c r="Q11" i="13"/>
  <c r="L12" i="13"/>
  <c r="O12" i="13"/>
  <c r="P12" i="13"/>
  <c r="Q12" i="13"/>
  <c r="L13" i="13"/>
  <c r="O13" i="13"/>
  <c r="P13" i="13"/>
  <c r="Q13" i="13"/>
  <c r="L14" i="13"/>
  <c r="O14" i="13"/>
  <c r="P14" i="13"/>
  <c r="Q14" i="13"/>
  <c r="L15" i="13"/>
  <c r="O15" i="13"/>
  <c r="P15" i="13"/>
  <c r="Q15" i="13"/>
  <c r="L16" i="13"/>
  <c r="O16" i="13"/>
  <c r="P16" i="13"/>
  <c r="Q16" i="13"/>
  <c r="L17" i="13"/>
  <c r="O17" i="13"/>
  <c r="P17" i="13"/>
  <c r="Q17" i="13"/>
  <c r="L18" i="13"/>
  <c r="O18" i="13"/>
  <c r="P18" i="13"/>
  <c r="Q18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3" i="13"/>
  <c r="AO9" i="9"/>
  <c r="AK10" i="10"/>
  <c r="Q7" i="10"/>
  <c r="R7" i="10"/>
  <c r="S7" i="10"/>
  <c r="T7" i="10" a="1"/>
  <c r="T7" i="10"/>
  <c r="U7" i="10"/>
  <c r="V7" i="10" a="1"/>
  <c r="V7" i="10"/>
  <c r="W7" i="10" a="1"/>
  <c r="W7" i="10"/>
  <c r="X7" i="10"/>
  <c r="Y7" i="10"/>
  <c r="Z7" i="10" a="1"/>
  <c r="Z7" i="10"/>
  <c r="AA7" i="10"/>
  <c r="AB7" i="10"/>
  <c r="AC7" i="10"/>
  <c r="AD7" i="10"/>
  <c r="AE7" i="10"/>
  <c r="AF7" i="10"/>
  <c r="AG7" i="10"/>
  <c r="AH7" i="10"/>
  <c r="AI7" i="10"/>
  <c r="AK7" i="10" s="1"/>
  <c r="AJ7" i="10"/>
  <c r="Q8" i="10"/>
  <c r="S8" i="10" s="1"/>
  <c r="R8" i="10"/>
  <c r="T8" i="10" a="1"/>
  <c r="T8" i="10"/>
  <c r="U8" i="10"/>
  <c r="V8" i="10" a="1"/>
  <c r="V8" i="10" s="1"/>
  <c r="W8" i="10" a="1"/>
  <c r="W8" i="10" s="1"/>
  <c r="X8" i="10" s="1"/>
  <c r="Y8" i="10"/>
  <c r="Z8" i="10" a="1"/>
  <c r="Z8" i="10"/>
  <c r="AA8" i="10"/>
  <c r="AB8" i="10"/>
  <c r="AC8" i="10"/>
  <c r="AD8" i="10"/>
  <c r="AE8" i="10"/>
  <c r="Q9" i="10"/>
  <c r="R9" i="10"/>
  <c r="S9" i="10"/>
  <c r="T9" i="10" a="1"/>
  <c r="T9" i="10"/>
  <c r="U9" i="10"/>
  <c r="V9" i="10" a="1"/>
  <c r="V9" i="10"/>
  <c r="W9" i="10" a="1"/>
  <c r="W9" i="10"/>
  <c r="X9" i="10"/>
  <c r="Y9" i="10"/>
  <c r="Z9" i="10" a="1"/>
  <c r="Z9" i="10"/>
  <c r="AA9" i="10"/>
  <c r="AB9" i="10"/>
  <c r="AC9" i="10"/>
  <c r="AD9" i="10"/>
  <c r="AE9" i="10"/>
  <c r="AF9" i="10"/>
  <c r="AG9" i="10"/>
  <c r="AH9" i="10"/>
  <c r="AI9" i="10"/>
  <c r="AJ9" i="10"/>
  <c r="AK9" i="10"/>
  <c r="M7" i="10"/>
  <c r="M8" i="10"/>
  <c r="M9" i="10"/>
  <c r="J7" i="10"/>
  <c r="J8" i="10"/>
  <c r="J9" i="10"/>
  <c r="AN9" i="9"/>
  <c r="L5" i="9"/>
  <c r="L9" i="9"/>
  <c r="J9" i="9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3" i="14"/>
  <c r="E4" i="6" a="1"/>
  <c r="E4" i="6" s="1"/>
  <c r="E5" i="6"/>
  <c r="O4" i="13"/>
  <c r="O5" i="13"/>
  <c r="O6" i="13"/>
  <c r="O7" i="13"/>
  <c r="O8" i="13"/>
  <c r="O9" i="13"/>
  <c r="O10" i="13"/>
  <c r="O3" i="13"/>
  <c r="B37" i="1"/>
  <c r="F48" i="1"/>
  <c r="F47" i="1"/>
  <c r="F46" i="1"/>
  <c r="F45" i="1"/>
  <c r="F44" i="1"/>
  <c r="F43" i="1"/>
  <c r="F42" i="1"/>
  <c r="F41" i="1"/>
  <c r="F40" i="1"/>
  <c r="F39" i="1"/>
  <c r="F38" i="1"/>
  <c r="F37" i="1"/>
  <c r="E48" i="1"/>
  <c r="E47" i="1"/>
  <c r="E46" i="1"/>
  <c r="E45" i="1"/>
  <c r="E44" i="1"/>
  <c r="E43" i="1"/>
  <c r="E42" i="1"/>
  <c r="E41" i="1"/>
  <c r="E40" i="1"/>
  <c r="E39" i="1"/>
  <c r="E38" i="1"/>
  <c r="E37" i="1"/>
  <c r="D44" i="1"/>
  <c r="D43" i="1"/>
  <c r="D42" i="1"/>
  <c r="D41" i="1"/>
  <c r="D40" i="1"/>
  <c r="D39" i="1"/>
  <c r="D37" i="1"/>
  <c r="D38" i="1"/>
  <c r="B32" i="1"/>
  <c r="B22" i="1"/>
  <c r="B20" i="1"/>
  <c r="B19" i="1"/>
  <c r="B18" i="1"/>
  <c r="B13" i="1"/>
  <c r="E142" i="16" l="1"/>
  <c r="A11" i="13"/>
  <c r="A12" i="13"/>
  <c r="A13" i="13"/>
  <c r="A14" i="13"/>
  <c r="A15" i="13"/>
  <c r="A16" i="13"/>
  <c r="A17" i="13"/>
  <c r="A18" i="13"/>
  <c r="A7" i="10"/>
  <c r="A8" i="10"/>
  <c r="A9" i="10"/>
  <c r="AG8" i="10"/>
  <c r="AH8" i="10" s="1"/>
  <c r="AF8" i="10"/>
  <c r="AI8" i="10" s="1"/>
  <c r="M4" i="10"/>
  <c r="M5" i="10"/>
  <c r="M6" i="10"/>
  <c r="M3" i="10"/>
  <c r="L4" i="13"/>
  <c r="L5" i="13"/>
  <c r="L6" i="13"/>
  <c r="L7" i="13"/>
  <c r="L8" i="13"/>
  <c r="L9" i="13"/>
  <c r="L10" i="13"/>
  <c r="L3" i="13"/>
  <c r="K3" i="12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4" i="11"/>
  <c r="N4" i="9"/>
  <c r="N5" i="9"/>
  <c r="N6" i="9"/>
  <c r="N7" i="9"/>
  <c r="N8" i="9"/>
  <c r="N3" i="9"/>
  <c r="B1" i="1"/>
  <c r="AK8" i="10" l="1"/>
  <c r="AJ8" i="10"/>
  <c r="AE7" i="9"/>
  <c r="AE3" i="9"/>
  <c r="AE4" i="9"/>
  <c r="AE6" i="9"/>
  <c r="I9" i="9"/>
  <c r="V6" i="9" a="1"/>
  <c r="V6" i="9" s="1"/>
  <c r="W6" i="9" a="1"/>
  <c r="W6" i="9" s="1"/>
  <c r="X6" i="9" a="1"/>
  <c r="X6" i="9" s="1"/>
  <c r="Y6" i="9" a="1"/>
  <c r="Y6" i="9" s="1"/>
  <c r="Z6" i="9"/>
  <c r="AB6" i="9"/>
  <c r="AD6" i="9"/>
  <c r="AF6" i="9"/>
  <c r="AG6" i="9"/>
  <c r="AH6" i="9"/>
  <c r="V7" i="9" a="1"/>
  <c r="V7" i="9" s="1"/>
  <c r="W7" i="9" a="1"/>
  <c r="W7" i="9" s="1"/>
  <c r="X7" i="9" a="1"/>
  <c r="X7" i="9" s="1"/>
  <c r="Y7" i="9" a="1"/>
  <c r="Y7" i="9" s="1"/>
  <c r="Z7" i="9"/>
  <c r="AB7" i="9"/>
  <c r="AD7" i="9"/>
  <c r="AF7" i="9"/>
  <c r="AG7" i="9"/>
  <c r="AH7" i="9"/>
  <c r="V8" i="9" a="1"/>
  <c r="V8" i="9" s="1"/>
  <c r="W8" i="9" a="1"/>
  <c r="W8" i="9" s="1"/>
  <c r="X8" i="9" a="1"/>
  <c r="X8" i="9" s="1"/>
  <c r="Y8" i="9" a="1"/>
  <c r="Y8" i="9" s="1"/>
  <c r="Z8" i="9"/>
  <c r="AB8" i="9"/>
  <c r="AD8" i="9"/>
  <c r="AE8" i="9"/>
  <c r="AF8" i="9"/>
  <c r="AG8" i="9"/>
  <c r="AH8" i="9"/>
  <c r="U6" i="9" a="1"/>
  <c r="U6" i="9" s="1"/>
  <c r="U7" i="9" a="1"/>
  <c r="U7" i="9" s="1"/>
  <c r="U8" i="9" a="1"/>
  <c r="U8" i="9" s="1"/>
  <c r="R6" i="9"/>
  <c r="AI6" i="9" s="1"/>
  <c r="R7" i="9"/>
  <c r="AI7" i="9" s="1"/>
  <c r="R8" i="9"/>
  <c r="AI8" i="9" s="1"/>
  <c r="J6" i="9"/>
  <c r="L6" i="9" s="1"/>
  <c r="J7" i="9"/>
  <c r="L7" i="9" s="1"/>
  <c r="J8" i="9"/>
  <c r="L8" i="9" s="1"/>
  <c r="Y14" i="11"/>
  <c r="Y15" i="11"/>
  <c r="J3" i="9"/>
  <c r="B29" i="1"/>
  <c r="B21" i="1"/>
  <c r="AA6" i="10"/>
  <c r="AA4" i="10"/>
  <c r="P10" i="13"/>
  <c r="Q9" i="13"/>
  <c r="P9" i="13"/>
  <c r="P8" i="13"/>
  <c r="P7" i="13"/>
  <c r="P6" i="13"/>
  <c r="P5" i="13"/>
  <c r="Q4" i="13"/>
  <c r="R6" i="12"/>
  <c r="G6" i="12"/>
  <c r="C6" i="12"/>
  <c r="AB5" i="12"/>
  <c r="AC5" i="12" s="1"/>
  <c r="AA5" i="12"/>
  <c r="Z5" i="12"/>
  <c r="V5" i="12"/>
  <c r="W5" i="12" s="1"/>
  <c r="X5" i="12" s="1"/>
  <c r="O5" i="12"/>
  <c r="K5" i="12"/>
  <c r="Y5" i="12" s="1"/>
  <c r="H5" i="12"/>
  <c r="I5" i="12" s="1"/>
  <c r="AB4" i="12"/>
  <c r="AA4" i="12"/>
  <c r="Z4" i="12"/>
  <c r="W4" i="12"/>
  <c r="X4" i="12" s="1"/>
  <c r="V4" i="12"/>
  <c r="O4" i="12"/>
  <c r="K4" i="12"/>
  <c r="Y4" i="12" s="1"/>
  <c r="H4" i="12"/>
  <c r="I4" i="12" s="1"/>
  <c r="Q4" i="12" s="1"/>
  <c r="AC3" i="12"/>
  <c r="AB3" i="12"/>
  <c r="AA3" i="12"/>
  <c r="Z3" i="12"/>
  <c r="V3" i="12"/>
  <c r="O3" i="12"/>
  <c r="Y3" i="12"/>
  <c r="H3" i="12"/>
  <c r="I3" i="12" s="1"/>
  <c r="Q3" i="12" s="1"/>
  <c r="AB23" i="11"/>
  <c r="AA23" i="11"/>
  <c r="Z23" i="11"/>
  <c r="Y23" i="11"/>
  <c r="X23" i="11"/>
  <c r="P23" i="11"/>
  <c r="AC23" i="11" s="1"/>
  <c r="J23" i="11"/>
  <c r="Q23" i="11" s="1"/>
  <c r="AB22" i="11"/>
  <c r="AA22" i="11"/>
  <c r="Z22" i="11"/>
  <c r="Y22" i="11"/>
  <c r="X22" i="11"/>
  <c r="P22" i="11"/>
  <c r="AC22" i="11" s="1"/>
  <c r="J22" i="11"/>
  <c r="AB21" i="11"/>
  <c r="AA21" i="11"/>
  <c r="Z21" i="11"/>
  <c r="Y21" i="11"/>
  <c r="X21" i="11"/>
  <c r="P21" i="11"/>
  <c r="AC21" i="11" s="1"/>
  <c r="J21" i="11"/>
  <c r="AB20" i="11"/>
  <c r="AA20" i="11"/>
  <c r="Z20" i="11"/>
  <c r="Y20" i="11"/>
  <c r="X20" i="11"/>
  <c r="P20" i="11"/>
  <c r="J20" i="11"/>
  <c r="AB19" i="11"/>
  <c r="AA19" i="11"/>
  <c r="Z19" i="11"/>
  <c r="Y19" i="11"/>
  <c r="X19" i="11"/>
  <c r="P19" i="11"/>
  <c r="AC19" i="11" s="1"/>
  <c r="AE19" i="11" s="1"/>
  <c r="J19" i="11"/>
  <c r="Q19" i="11" s="1"/>
  <c r="AI19" i="11" s="1"/>
  <c r="AB18" i="11"/>
  <c r="AA18" i="11"/>
  <c r="Z18" i="11"/>
  <c r="Y18" i="11"/>
  <c r="X18" i="11"/>
  <c r="P18" i="11"/>
  <c r="AC18" i="11" s="1"/>
  <c r="AE18" i="11" s="1"/>
  <c r="J18" i="11"/>
  <c r="Q18" i="11" s="1"/>
  <c r="AB17" i="11"/>
  <c r="AA17" i="11"/>
  <c r="Z17" i="11"/>
  <c r="Y17" i="11"/>
  <c r="X17" i="11"/>
  <c r="P17" i="11"/>
  <c r="AC17" i="11" s="1"/>
  <c r="J17" i="11"/>
  <c r="Q17" i="11" s="1"/>
  <c r="AI17" i="11" s="1"/>
  <c r="AB16" i="11"/>
  <c r="AA16" i="11"/>
  <c r="Z16" i="11"/>
  <c r="Y16" i="11"/>
  <c r="X16" i="11"/>
  <c r="P16" i="11"/>
  <c r="AC16" i="11" s="1"/>
  <c r="AE16" i="11" s="1"/>
  <c r="J16" i="11"/>
  <c r="AB15" i="11"/>
  <c r="AA15" i="11"/>
  <c r="Z15" i="11"/>
  <c r="X15" i="11"/>
  <c r="P15" i="11"/>
  <c r="AC15" i="11" s="1"/>
  <c r="J15" i="11"/>
  <c r="Q15" i="11" s="1"/>
  <c r="AB14" i="11"/>
  <c r="AA14" i="11"/>
  <c r="Z14" i="11"/>
  <c r="X14" i="11"/>
  <c r="P14" i="11"/>
  <c r="AC14" i="11" s="1"/>
  <c r="J14" i="11"/>
  <c r="AB13" i="11"/>
  <c r="AA13" i="11"/>
  <c r="Z13" i="11"/>
  <c r="Y13" i="11"/>
  <c r="X13" i="11"/>
  <c r="P13" i="11"/>
  <c r="AC13" i="11" s="1"/>
  <c r="J13" i="11"/>
  <c r="AB12" i="11"/>
  <c r="AA12" i="11"/>
  <c r="Z12" i="11"/>
  <c r="Y12" i="11"/>
  <c r="X12" i="11"/>
  <c r="P12" i="11"/>
  <c r="J12" i="11"/>
  <c r="Q12" i="11" s="1"/>
  <c r="AB11" i="11"/>
  <c r="AA11" i="11"/>
  <c r="Z11" i="11"/>
  <c r="Y11" i="11"/>
  <c r="X11" i="11"/>
  <c r="P11" i="11"/>
  <c r="AC11" i="11" s="1"/>
  <c r="J11" i="11"/>
  <c r="AB10" i="11"/>
  <c r="AA10" i="11"/>
  <c r="Z10" i="11"/>
  <c r="Y10" i="11"/>
  <c r="X10" i="11"/>
  <c r="P10" i="11"/>
  <c r="AC10" i="11" s="1"/>
  <c r="J10" i="11"/>
  <c r="Q10" i="11" s="1"/>
  <c r="AB9" i="11"/>
  <c r="AA9" i="11"/>
  <c r="Z9" i="11"/>
  <c r="Y9" i="11"/>
  <c r="X9" i="11"/>
  <c r="P9" i="11"/>
  <c r="AC9" i="11" s="1"/>
  <c r="J9" i="11"/>
  <c r="AB8" i="11"/>
  <c r="AA8" i="11"/>
  <c r="Z8" i="11"/>
  <c r="Y8" i="11"/>
  <c r="X8" i="11"/>
  <c r="P8" i="11"/>
  <c r="AC8" i="11" s="1"/>
  <c r="J8" i="11"/>
  <c r="Q8" i="11" s="1"/>
  <c r="AI8" i="11" s="1"/>
  <c r="AB7" i="11"/>
  <c r="AA7" i="11"/>
  <c r="Z7" i="11"/>
  <c r="Y7" i="11"/>
  <c r="X7" i="11"/>
  <c r="P7" i="11"/>
  <c r="AC7" i="11" s="1"/>
  <c r="J7" i="11"/>
  <c r="AB6" i="11"/>
  <c r="AA6" i="11"/>
  <c r="Z6" i="11"/>
  <c r="Y6" i="11"/>
  <c r="X6" i="11"/>
  <c r="P6" i="11"/>
  <c r="AC6" i="11" s="1"/>
  <c r="J6" i="11"/>
  <c r="AB5" i="11"/>
  <c r="AA5" i="11"/>
  <c r="Z5" i="11"/>
  <c r="Y5" i="11"/>
  <c r="X5" i="11"/>
  <c r="P5" i="11"/>
  <c r="AC5" i="11" s="1"/>
  <c r="J5" i="11"/>
  <c r="AB4" i="11"/>
  <c r="AA4" i="11"/>
  <c r="Z4" i="11"/>
  <c r="Y4" i="11"/>
  <c r="X4" i="11"/>
  <c r="P4" i="11"/>
  <c r="J4" i="11"/>
  <c r="AD6" i="10"/>
  <c r="AC6" i="10"/>
  <c r="AB6" i="10"/>
  <c r="Z6" i="10" a="1"/>
  <c r="Z6" i="10" s="1"/>
  <c r="Y6" i="10"/>
  <c r="W6" i="10" a="1"/>
  <c r="W6" i="10" s="1"/>
  <c r="V6" i="10" a="1"/>
  <c r="V6" i="10" s="1"/>
  <c r="U6" i="10"/>
  <c r="T6" i="10" a="1"/>
  <c r="T6" i="10" s="1"/>
  <c r="Q6" i="10"/>
  <c r="AE6" i="10" s="1"/>
  <c r="J6" i="10"/>
  <c r="AD5" i="10"/>
  <c r="AC5" i="10"/>
  <c r="AB5" i="10"/>
  <c r="AA5" i="10"/>
  <c r="Z5" i="10" a="1"/>
  <c r="Z5" i="10" s="1"/>
  <c r="Y5" i="10"/>
  <c r="W5" i="10" a="1"/>
  <c r="W5" i="10" s="1"/>
  <c r="V5" i="10" a="1"/>
  <c r="V5" i="10" s="1"/>
  <c r="U5" i="10"/>
  <c r="T5" i="10" a="1"/>
  <c r="T5" i="10" s="1"/>
  <c r="Q5" i="10"/>
  <c r="AE5" i="10" s="1"/>
  <c r="J5" i="10"/>
  <c r="AD4" i="10"/>
  <c r="AC4" i="10"/>
  <c r="AB4" i="10"/>
  <c r="Z4" i="10" a="1"/>
  <c r="Z4" i="10" s="1"/>
  <c r="Y4" i="10"/>
  <c r="W4" i="10" a="1"/>
  <c r="W4" i="10" s="1"/>
  <c r="V4" i="10" a="1"/>
  <c r="V4" i="10" s="1"/>
  <c r="U4" i="10"/>
  <c r="T4" i="10" a="1"/>
  <c r="T4" i="10" s="1"/>
  <c r="Q4" i="10"/>
  <c r="AE4" i="10" s="1"/>
  <c r="J4" i="10"/>
  <c r="AD3" i="10"/>
  <c r="AC3" i="10"/>
  <c r="AB3" i="10"/>
  <c r="AA3" i="10"/>
  <c r="Z3" i="10" a="1"/>
  <c r="Z3" i="10" s="1"/>
  <c r="Y3" i="10"/>
  <c r="V3" i="10" a="1"/>
  <c r="V3" i="10" s="1"/>
  <c r="X3" i="10" s="1"/>
  <c r="U3" i="10"/>
  <c r="T3" i="10" a="1"/>
  <c r="T3" i="10" s="1"/>
  <c r="Q3" i="10"/>
  <c r="J3" i="10"/>
  <c r="AH5" i="9"/>
  <c r="AG5" i="9"/>
  <c r="AF5" i="9"/>
  <c r="AD5" i="9"/>
  <c r="AB5" i="9"/>
  <c r="Z5" i="9"/>
  <c r="Y5" i="9" a="1"/>
  <c r="Y5" i="9" s="1"/>
  <c r="X5" i="9" a="1"/>
  <c r="X5" i="9" s="1"/>
  <c r="W5" i="9" a="1"/>
  <c r="W5" i="9" s="1"/>
  <c r="V5" i="9" a="1"/>
  <c r="V5" i="9" s="1"/>
  <c r="U5" i="9" a="1"/>
  <c r="U5" i="9" s="1"/>
  <c r="R5" i="9"/>
  <c r="AI5" i="9" s="1"/>
  <c r="J5" i="9"/>
  <c r="AH4" i="9"/>
  <c r="AG4" i="9"/>
  <c r="AF4" i="9"/>
  <c r="AD4" i="9"/>
  <c r="AB4" i="9"/>
  <c r="Z4" i="9"/>
  <c r="Y4" i="9" a="1"/>
  <c r="Y4" i="9" s="1"/>
  <c r="X4" i="9" a="1"/>
  <c r="X4" i="9" s="1"/>
  <c r="W4" i="9" a="1"/>
  <c r="W4" i="9" s="1"/>
  <c r="V4" i="9" a="1"/>
  <c r="V4" i="9" s="1"/>
  <c r="U4" i="9" a="1"/>
  <c r="U4" i="9" s="1"/>
  <c r="R4" i="9"/>
  <c r="AI4" i="9" s="1"/>
  <c r="J4" i="9"/>
  <c r="L4" i="9" s="1"/>
  <c r="AH3" i="9"/>
  <c r="AG3" i="9"/>
  <c r="AF3" i="9"/>
  <c r="AD3" i="9"/>
  <c r="AB3" i="9"/>
  <c r="Z3" i="9"/>
  <c r="Y3" i="9" a="1"/>
  <c r="Y3" i="9" s="1"/>
  <c r="X3" i="9" a="1"/>
  <c r="X3" i="9" s="1"/>
  <c r="W3" i="9" a="1"/>
  <c r="W3" i="9" s="1"/>
  <c r="V3" i="9" a="1"/>
  <c r="V3" i="9" s="1"/>
  <c r="U3" i="9" a="1"/>
  <c r="U3" i="9" s="1"/>
  <c r="R3" i="9"/>
  <c r="AP39" i="6"/>
  <c r="AO39" i="6"/>
  <c r="AN39" i="6"/>
  <c r="AM39" i="6"/>
  <c r="AL39" i="6"/>
  <c r="AK39" i="6"/>
  <c r="AJ39" i="6"/>
  <c r="AI39" i="6"/>
  <c r="AH39" i="6"/>
  <c r="AG39" i="6"/>
  <c r="AA39" i="6"/>
  <c r="Z39" i="6"/>
  <c r="Y39" i="6"/>
  <c r="X39" i="6"/>
  <c r="W39" i="6"/>
  <c r="V39" i="6"/>
  <c r="U39" i="6"/>
  <c r="T39" i="6"/>
  <c r="S39" i="6"/>
  <c r="R39" i="6"/>
  <c r="Q39" i="6"/>
  <c r="Q41" i="6" s="1"/>
  <c r="Q43" i="6" s="1"/>
  <c r="AP29" i="6" a="1"/>
  <c r="AO29" i="6" a="1"/>
  <c r="AN29" i="6" a="1"/>
  <c r="AM29" i="6" a="1"/>
  <c r="AL29" i="6" a="1"/>
  <c r="AK29" i="6" a="1"/>
  <c r="AJ29" i="6" a="1"/>
  <c r="AI29" i="6" a="1"/>
  <c r="AH29" i="6" a="1"/>
  <c r="AG29" i="6" a="1"/>
  <c r="AF29" i="6" a="1"/>
  <c r="E24" i="6"/>
  <c r="D24" i="6"/>
  <c r="C24" i="6"/>
  <c r="K7" i="6" a="1"/>
  <c r="K7" i="6" s="1"/>
  <c r="C39" i="6" s="1"/>
  <c r="AD19" i="11" l="1"/>
  <c r="AD20" i="11"/>
  <c r="AD13" i="11"/>
  <c r="AD12" i="11"/>
  <c r="AD16" i="11"/>
  <c r="R4" i="11"/>
  <c r="R16" i="11"/>
  <c r="AF16" i="11" s="1"/>
  <c r="Q16" i="11"/>
  <c r="AI16" i="11" s="1"/>
  <c r="AK29" i="6"/>
  <c r="AN29" i="6"/>
  <c r="AG29" i="6"/>
  <c r="AL29" i="6"/>
  <c r="AO29" i="6"/>
  <c r="AI29" i="6"/>
  <c r="AJ29" i="6"/>
  <c r="AH29" i="6"/>
  <c r="AM29" i="6"/>
  <c r="AA6" i="9"/>
  <c r="AF29" i="6"/>
  <c r="AK24" i="6"/>
  <c r="H24" i="6"/>
  <c r="AO24" i="6"/>
  <c r="AF24" i="6"/>
  <c r="AH24" i="6"/>
  <c r="AN24" i="6"/>
  <c r="L24" i="6"/>
  <c r="AL24" i="6"/>
  <c r="AI24" i="6"/>
  <c r="G24" i="6"/>
  <c r="AP29" i="6"/>
  <c r="AJ24" i="6"/>
  <c r="AG24" i="6"/>
  <c r="F24" i="6"/>
  <c r="AP24" i="6"/>
  <c r="J24" i="6"/>
  <c r="AM24" i="6"/>
  <c r="K24" i="6"/>
  <c r="I24" i="6"/>
  <c r="Q6" i="13"/>
  <c r="Q10" i="13"/>
  <c r="Q7" i="13"/>
  <c r="Q8" i="13"/>
  <c r="Q5" i="13"/>
  <c r="AA8" i="9"/>
  <c r="AC8" i="9" s="1"/>
  <c r="AA7" i="9"/>
  <c r="AC7" i="9" s="1"/>
  <c r="AJ7" i="9" s="1"/>
  <c r="AQ7" i="9" s="1"/>
  <c r="AC6" i="9"/>
  <c r="A8" i="9"/>
  <c r="A7" i="9"/>
  <c r="A6" i="9"/>
  <c r="Q3" i="13"/>
  <c r="Q19" i="13" s="1"/>
  <c r="P3" i="13"/>
  <c r="P4" i="13"/>
  <c r="AC4" i="12"/>
  <c r="Q6" i="12"/>
  <c r="Q5" i="12"/>
  <c r="AE5" i="12"/>
  <c r="AD5" i="12"/>
  <c r="V6" i="12"/>
  <c r="AF5" i="12"/>
  <c r="P4" i="12"/>
  <c r="AG4" i="12" s="1"/>
  <c r="AH4" i="12" s="1"/>
  <c r="H6" i="12"/>
  <c r="R22" i="11"/>
  <c r="R15" i="11"/>
  <c r="R13" i="11"/>
  <c r="AE13" i="11"/>
  <c r="AE23" i="11"/>
  <c r="R5" i="11"/>
  <c r="R7" i="11"/>
  <c r="AD9" i="11"/>
  <c r="Q4" i="11"/>
  <c r="T6" i="9"/>
  <c r="S8" i="9"/>
  <c r="AP8" i="9" s="1"/>
  <c r="T8" i="9"/>
  <c r="G45" i="1"/>
  <c r="R6" i="10"/>
  <c r="S7" i="9"/>
  <c r="AP7" i="9" s="1"/>
  <c r="T7" i="9"/>
  <c r="S6" i="9"/>
  <c r="AP6" i="9" s="1"/>
  <c r="AA4" i="9"/>
  <c r="AC4" i="9" s="1"/>
  <c r="AJ4" i="9" s="1"/>
  <c r="AQ4" i="9" s="1"/>
  <c r="AA5" i="9"/>
  <c r="AC5" i="9" s="1"/>
  <c r="AK5" i="9" s="1"/>
  <c r="AD4" i="11"/>
  <c r="AG12" i="11"/>
  <c r="AH12" i="11" s="1"/>
  <c r="Q7" i="11"/>
  <c r="AI7" i="11" s="1"/>
  <c r="AD11" i="11"/>
  <c r="AD10" i="11"/>
  <c r="AG10" i="11" s="1"/>
  <c r="AH10" i="11" s="1"/>
  <c r="Q20" i="11"/>
  <c r="AD5" i="11"/>
  <c r="AD8" i="11"/>
  <c r="AG8" i="11" s="1"/>
  <c r="AH8" i="11" s="1"/>
  <c r="AE14" i="11"/>
  <c r="R18" i="11"/>
  <c r="AF18" i="11" s="1"/>
  <c r="R20" i="11"/>
  <c r="AD17" i="11"/>
  <c r="AG17" i="11" s="1"/>
  <c r="AH17" i="11" s="1"/>
  <c r="AD18" i="11"/>
  <c r="AG18" i="11" s="1"/>
  <c r="AH18" i="11" s="1"/>
  <c r="R21" i="11"/>
  <c r="R23" i="11"/>
  <c r="AG16" i="11"/>
  <c r="AH16" i="11" s="1"/>
  <c r="D6" i="4"/>
  <c r="R6" i="11"/>
  <c r="AE8" i="11"/>
  <c r="R9" i="11"/>
  <c r="R11" i="11"/>
  <c r="AD21" i="11"/>
  <c r="AE10" i="11"/>
  <c r="AE11" i="11"/>
  <c r="D11" i="4"/>
  <c r="AE6" i="11"/>
  <c r="AE7" i="11"/>
  <c r="R8" i="11"/>
  <c r="Q9" i="11"/>
  <c r="AI9" i="11" s="1"/>
  <c r="R10" i="11"/>
  <c r="Q11" i="11"/>
  <c r="AI11" i="11" s="1"/>
  <c r="R12" i="11"/>
  <c r="AI12" i="11"/>
  <c r="R14" i="11"/>
  <c r="R17" i="11"/>
  <c r="R19" i="11"/>
  <c r="AF19" i="11" s="1"/>
  <c r="T5" i="9"/>
  <c r="S5" i="10"/>
  <c r="R3" i="10"/>
  <c r="X6" i="10"/>
  <c r="AG6" i="10" s="1"/>
  <c r="X4" i="10"/>
  <c r="AF4" i="10" s="1"/>
  <c r="S4" i="10"/>
  <c r="S6" i="10"/>
  <c r="S3" i="10"/>
  <c r="AF3" i="10"/>
  <c r="S5" i="9"/>
  <c r="AP5" i="9" s="1"/>
  <c r="G43" i="1"/>
  <c r="G41" i="1"/>
  <c r="E39" i="6"/>
  <c r="I39" i="6"/>
  <c r="H39" i="6"/>
  <c r="G39" i="6"/>
  <c r="D39" i="6"/>
  <c r="L39" i="6"/>
  <c r="F39" i="6"/>
  <c r="K39" i="6"/>
  <c r="B39" i="6"/>
  <c r="J39" i="6"/>
  <c r="G39" i="1"/>
  <c r="G40" i="1"/>
  <c r="G48" i="1"/>
  <c r="T4" i="9"/>
  <c r="S4" i="9"/>
  <c r="G47" i="1"/>
  <c r="G38" i="1"/>
  <c r="B14" i="1"/>
  <c r="G37" i="1"/>
  <c r="G46" i="1"/>
  <c r="G42" i="1"/>
  <c r="L3" i="9"/>
  <c r="X5" i="10"/>
  <c r="AF5" i="10" s="1"/>
  <c r="G44" i="1"/>
  <c r="AI3" i="9"/>
  <c r="AA3" i="9"/>
  <c r="AC3" i="9" s="1"/>
  <c r="AE5" i="9"/>
  <c r="A4" i="9"/>
  <c r="A100" i="15"/>
  <c r="A92" i="15"/>
  <c r="A84" i="15"/>
  <c r="A76" i="15"/>
  <c r="A68" i="15"/>
  <c r="A60" i="15"/>
  <c r="A52" i="15"/>
  <c r="A44" i="15"/>
  <c r="A36" i="15"/>
  <c r="A28" i="15"/>
  <c r="A20" i="15"/>
  <c r="A12" i="15"/>
  <c r="A4" i="15"/>
  <c r="A94" i="14"/>
  <c r="A86" i="14"/>
  <c r="A78" i="14"/>
  <c r="A70" i="14"/>
  <c r="A62" i="14"/>
  <c r="A54" i="14"/>
  <c r="A46" i="14"/>
  <c r="A38" i="14"/>
  <c r="A30" i="14"/>
  <c r="A22" i="14"/>
  <c r="A14" i="14"/>
  <c r="A6" i="14"/>
  <c r="A8" i="13"/>
  <c r="A4" i="12"/>
  <c r="A20" i="11"/>
  <c r="A12" i="11"/>
  <c r="A4" i="11"/>
  <c r="A99" i="15"/>
  <c r="A91" i="15"/>
  <c r="A83" i="15"/>
  <c r="A75" i="15"/>
  <c r="A67" i="15"/>
  <c r="A59" i="15"/>
  <c r="A51" i="15"/>
  <c r="A43" i="15"/>
  <c r="A35" i="15"/>
  <c r="A27" i="15"/>
  <c r="A19" i="15"/>
  <c r="A11" i="15"/>
  <c r="A3" i="15"/>
  <c r="A93" i="14"/>
  <c r="A85" i="14"/>
  <c r="A77" i="14"/>
  <c r="A69" i="14"/>
  <c r="A61" i="14"/>
  <c r="A53" i="14"/>
  <c r="A45" i="14"/>
  <c r="A37" i="14"/>
  <c r="A29" i="14"/>
  <c r="A21" i="14"/>
  <c r="A13" i="14"/>
  <c r="A5" i="14"/>
  <c r="A3" i="13"/>
  <c r="A19" i="11"/>
  <c r="A11" i="11"/>
  <c r="A98" i="15"/>
  <c r="A90" i="15"/>
  <c r="A82" i="15"/>
  <c r="A74" i="15"/>
  <c r="A66" i="15"/>
  <c r="A58" i="15"/>
  <c r="A50" i="15"/>
  <c r="A42" i="15"/>
  <c r="A34" i="15"/>
  <c r="A26" i="15"/>
  <c r="A18" i="15"/>
  <c r="A10" i="15"/>
  <c r="A100" i="14"/>
  <c r="A92" i="14"/>
  <c r="A84" i="14"/>
  <c r="A76" i="14"/>
  <c r="A68" i="14"/>
  <c r="A60" i="14"/>
  <c r="A52" i="14"/>
  <c r="A44" i="14"/>
  <c r="A36" i="14"/>
  <c r="A28" i="14"/>
  <c r="A20" i="14"/>
  <c r="A12" i="14"/>
  <c r="A4" i="14"/>
  <c r="A6" i="13"/>
  <c r="A18" i="11"/>
  <c r="A10" i="11"/>
  <c r="A97" i="15"/>
  <c r="A89" i="15"/>
  <c r="A81" i="15"/>
  <c r="A73" i="15"/>
  <c r="A65" i="15"/>
  <c r="A57" i="15"/>
  <c r="A49" i="15"/>
  <c r="A41" i="15"/>
  <c r="A33" i="15"/>
  <c r="A25" i="15"/>
  <c r="A17" i="15"/>
  <c r="A9" i="15"/>
  <c r="A99" i="14"/>
  <c r="A91" i="14"/>
  <c r="A83" i="14"/>
  <c r="A75" i="14"/>
  <c r="A67" i="14"/>
  <c r="A59" i="14"/>
  <c r="A51" i="14"/>
  <c r="A43" i="14"/>
  <c r="A35" i="14"/>
  <c r="A27" i="14"/>
  <c r="A19" i="14"/>
  <c r="A11" i="14"/>
  <c r="A9" i="13"/>
  <c r="A17" i="11"/>
  <c r="A9" i="11"/>
  <c r="A96" i="15"/>
  <c r="A88" i="15"/>
  <c r="A80" i="15"/>
  <c r="A72" i="15"/>
  <c r="A64" i="15"/>
  <c r="A56" i="15"/>
  <c r="A48" i="15"/>
  <c r="A40" i="15"/>
  <c r="A32" i="15"/>
  <c r="A24" i="15"/>
  <c r="A16" i="15"/>
  <c r="A8" i="15"/>
  <c r="A98" i="14"/>
  <c r="A90" i="14"/>
  <c r="A82" i="14"/>
  <c r="A74" i="14"/>
  <c r="A66" i="14"/>
  <c r="A58" i="14"/>
  <c r="A50" i="14"/>
  <c r="A42" i="14"/>
  <c r="A34" i="14"/>
  <c r="A26" i="14"/>
  <c r="A18" i="14"/>
  <c r="A10" i="14"/>
  <c r="A3" i="14"/>
  <c r="A4" i="13"/>
  <c r="A5" i="12"/>
  <c r="A3" i="12"/>
  <c r="A16" i="11"/>
  <c r="A8" i="11"/>
  <c r="A95" i="15"/>
  <c r="A87" i="15"/>
  <c r="A79" i="15"/>
  <c r="A71" i="15"/>
  <c r="A63" i="15"/>
  <c r="A55" i="15"/>
  <c r="A47" i="15"/>
  <c r="A39" i="15"/>
  <c r="A31" i="15"/>
  <c r="A23" i="15"/>
  <c r="A15" i="15"/>
  <c r="A7" i="15"/>
  <c r="A97" i="14"/>
  <c r="A89" i="14"/>
  <c r="A81" i="14"/>
  <c r="A73" i="14"/>
  <c r="A65" i="14"/>
  <c r="A57" i="14"/>
  <c r="A49" i="14"/>
  <c r="A41" i="14"/>
  <c r="A33" i="14"/>
  <c r="A25" i="14"/>
  <c r="A17" i="14"/>
  <c r="A9" i="14"/>
  <c r="A7" i="13"/>
  <c r="A23" i="11"/>
  <c r="A15" i="11"/>
  <c r="A7" i="11"/>
  <c r="A94" i="15"/>
  <c r="A86" i="15"/>
  <c r="A78" i="15"/>
  <c r="A70" i="15"/>
  <c r="A62" i="15"/>
  <c r="A54" i="15"/>
  <c r="A46" i="15"/>
  <c r="A38" i="15"/>
  <c r="A30" i="15"/>
  <c r="A22" i="15"/>
  <c r="A14" i="15"/>
  <c r="A6" i="15"/>
  <c r="A96" i="14"/>
  <c r="A88" i="14"/>
  <c r="A80" i="14"/>
  <c r="A72" i="14"/>
  <c r="A64" i="14"/>
  <c r="A56" i="14"/>
  <c r="A48" i="14"/>
  <c r="A40" i="14"/>
  <c r="A32" i="14"/>
  <c r="A24" i="14"/>
  <c r="A16" i="14"/>
  <c r="A8" i="14"/>
  <c r="A10" i="13"/>
  <c r="A22" i="11"/>
  <c r="A14" i="11"/>
  <c r="A6" i="11"/>
  <c r="A93" i="15"/>
  <c r="A85" i="15"/>
  <c r="A77" i="15"/>
  <c r="A69" i="15"/>
  <c r="A61" i="15"/>
  <c r="A53" i="15"/>
  <c r="A45" i="15"/>
  <c r="A37" i="15"/>
  <c r="A29" i="15"/>
  <c r="A21" i="15"/>
  <c r="A13" i="15"/>
  <c r="A5" i="15"/>
  <c r="A95" i="14"/>
  <c r="A87" i="14"/>
  <c r="A79" i="14"/>
  <c r="A71" i="14"/>
  <c r="A63" i="14"/>
  <c r="A55" i="14"/>
  <c r="A47" i="14"/>
  <c r="A39" i="14"/>
  <c r="A31" i="14"/>
  <c r="A23" i="14"/>
  <c r="A15" i="14"/>
  <c r="A7" i="14"/>
  <c r="A5" i="13"/>
  <c r="A21" i="11"/>
  <c r="A13" i="11"/>
  <c r="A5" i="11"/>
  <c r="A4" i="10"/>
  <c r="A3" i="10"/>
  <c r="A6" i="10"/>
  <c r="A5" i="10"/>
  <c r="A5" i="9"/>
  <c r="AA9" i="9"/>
  <c r="Z9" i="9"/>
  <c r="A3" i="9"/>
  <c r="AE3" i="10"/>
  <c r="AG3" i="10" s="1"/>
  <c r="AE22" i="11"/>
  <c r="Z10" i="10"/>
  <c r="R4" i="10"/>
  <c r="AE21" i="11"/>
  <c r="AI10" i="11"/>
  <c r="AI15" i="11"/>
  <c r="AD4" i="12"/>
  <c r="R5" i="10"/>
  <c r="AI18" i="11"/>
  <c r="AE4" i="12"/>
  <c r="AF4" i="12" s="1"/>
  <c r="AE5" i="11"/>
  <c r="AI23" i="11"/>
  <c r="H6" i="4"/>
  <c r="AE15" i="11"/>
  <c r="AE9" i="11"/>
  <c r="AE17" i="11"/>
  <c r="P3" i="12"/>
  <c r="P5" i="12"/>
  <c r="AC4" i="11"/>
  <c r="AE4" i="11" s="1"/>
  <c r="AC12" i="11"/>
  <c r="AE12" i="11" s="1"/>
  <c r="AC20" i="11"/>
  <c r="AE20" i="11" s="1"/>
  <c r="I6" i="12"/>
  <c r="Q5" i="11"/>
  <c r="Q13" i="11"/>
  <c r="Q21" i="11"/>
  <c r="W3" i="12"/>
  <c r="Q6" i="11"/>
  <c r="AD6" i="11"/>
  <c r="Q14" i="11"/>
  <c r="AD14" i="11"/>
  <c r="AG19" i="11"/>
  <c r="AH19" i="11" s="1"/>
  <c r="Q22" i="11"/>
  <c r="AD22" i="11"/>
  <c r="AD7" i="11"/>
  <c r="AD15" i="11"/>
  <c r="AG15" i="11" s="1"/>
  <c r="AH15" i="11" s="1"/>
  <c r="AD23" i="11"/>
  <c r="AG23" i="11" s="1"/>
  <c r="AH23" i="11" s="1"/>
  <c r="AF22" i="11" l="1"/>
  <c r="AF13" i="11"/>
  <c r="AF6" i="11"/>
  <c r="AF9" i="11"/>
  <c r="AI20" i="11"/>
  <c r="AG20" i="11"/>
  <c r="AH20" i="11" s="1"/>
  <c r="AG4" i="11"/>
  <c r="AH4" i="11" s="1"/>
  <c r="AF7" i="11"/>
  <c r="AF5" i="11"/>
  <c r="AF15" i="11"/>
  <c r="AF12" i="11"/>
  <c r="AG7" i="11"/>
  <c r="AH7" i="11" s="1"/>
  <c r="AQ29" i="6"/>
  <c r="D79" i="4" s="1"/>
  <c r="AK6" i="9"/>
  <c r="AL6" i="9" s="1"/>
  <c r="AJ6" i="9"/>
  <c r="AQ6" i="9" s="1"/>
  <c r="AF26" i="6"/>
  <c r="AF28" i="6" s="1"/>
  <c r="AU14" i="6"/>
  <c r="B34" i="1"/>
  <c r="AK7" i="9"/>
  <c r="AL7" i="9" s="1"/>
  <c r="AK8" i="9"/>
  <c r="AL8" i="9" s="1"/>
  <c r="AJ8" i="9"/>
  <c r="AM6" i="9"/>
  <c r="AN6" i="9" s="1"/>
  <c r="B6" i="7" a="1"/>
  <c r="B6" i="7" s="1"/>
  <c r="AG5" i="12"/>
  <c r="AH5" i="12" s="1"/>
  <c r="AF21" i="11"/>
  <c r="AF20" i="11"/>
  <c r="AF23" i="11"/>
  <c r="AG9" i="11"/>
  <c r="AH9" i="11" s="1"/>
  <c r="AF10" i="11"/>
  <c r="AF8" i="11"/>
  <c r="AG11" i="11"/>
  <c r="AH11" i="11" s="1"/>
  <c r="AM7" i="9"/>
  <c r="AN7" i="9" s="1"/>
  <c r="AI3" i="10"/>
  <c r="AK3" i="10" s="1"/>
  <c r="AG5" i="10"/>
  <c r="AH5" i="10" s="1"/>
  <c r="AK4" i="9"/>
  <c r="AL4" i="9" s="1"/>
  <c r="AJ5" i="9"/>
  <c r="AQ5" i="9" s="1"/>
  <c r="AL5" i="9"/>
  <c r="AF14" i="11"/>
  <c r="AE24" i="11"/>
  <c r="AF17" i="11"/>
  <c r="AF11" i="11"/>
  <c r="D12" i="4"/>
  <c r="AH6" i="10"/>
  <c r="AI4" i="10"/>
  <c r="AK4" i="10" s="1"/>
  <c r="AH3" i="10"/>
  <c r="AF6" i="10"/>
  <c r="AI6" i="10" s="1"/>
  <c r="AK6" i="10" s="1"/>
  <c r="AG4" i="10"/>
  <c r="AH4" i="10" s="1"/>
  <c r="B35" i="1"/>
  <c r="B36" i="1"/>
  <c r="AG21" i="11"/>
  <c r="AH21" i="11" s="1"/>
  <c r="AI21" i="11"/>
  <c r="AC9" i="9"/>
  <c r="AJ3" i="9"/>
  <c r="AG13" i="11"/>
  <c r="AH13" i="11" s="1"/>
  <c r="AI13" i="11"/>
  <c r="H11" i="4"/>
  <c r="S3" i="9"/>
  <c r="T3" i="9"/>
  <c r="T9" i="9" s="1"/>
  <c r="AG6" i="11"/>
  <c r="AH6" i="11" s="1"/>
  <c r="AI6" i="11"/>
  <c r="AG14" i="11"/>
  <c r="AH14" i="11" s="1"/>
  <c r="AI14" i="11"/>
  <c r="AG5" i="11"/>
  <c r="AI5" i="11"/>
  <c r="C40" i="6"/>
  <c r="C41" i="6" s="1"/>
  <c r="AK3" i="9"/>
  <c r="B41" i="6"/>
  <c r="G49" i="1"/>
  <c r="W6" i="12"/>
  <c r="X3" i="12"/>
  <c r="P6" i="12"/>
  <c r="B4" i="7" s="1" a="1"/>
  <c r="B4" i="7" s="1"/>
  <c r="R24" i="11"/>
  <c r="Q54" i="6"/>
  <c r="AP4" i="9"/>
  <c r="AM4" i="9"/>
  <c r="AI5" i="10"/>
  <c r="AG22" i="11"/>
  <c r="AH22" i="11" s="1"/>
  <c r="AI22" i="11"/>
  <c r="AF4" i="11"/>
  <c r="D46" i="4"/>
  <c r="D26" i="4"/>
  <c r="D71" i="4"/>
  <c r="D66" i="4"/>
  <c r="H15" i="4" l="1"/>
  <c r="AQ8" i="9"/>
  <c r="AM8" i="9"/>
  <c r="AO6" i="9"/>
  <c r="AO7" i="9"/>
  <c r="AJ3" i="10"/>
  <c r="H12" i="4"/>
  <c r="AJ4" i="10"/>
  <c r="AM5" i="9"/>
  <c r="AN5" i="9" s="1"/>
  <c r="D75" i="4"/>
  <c r="AJ6" i="10"/>
  <c r="C55" i="6" a="1"/>
  <c r="C55" i="6" s="1"/>
  <c r="I55" i="6" s="1"/>
  <c r="I56" i="6" s="1"/>
  <c r="AG10" i="10"/>
  <c r="Q56" i="6"/>
  <c r="C48" i="6"/>
  <c r="Q59" i="6" a="1"/>
  <c r="Q59" i="6" s="1"/>
  <c r="D51" i="4"/>
  <c r="D31" i="4"/>
  <c r="R55" i="6" a="1"/>
  <c r="R55" i="6" s="1"/>
  <c r="AK5" i="10"/>
  <c r="AJ5" i="10"/>
  <c r="X6" i="12"/>
  <c r="AE3" i="12"/>
  <c r="AD3" i="12"/>
  <c r="G50" i="1"/>
  <c r="E40" i="6"/>
  <c r="E41" i="6" s="1"/>
  <c r="C49" i="6"/>
  <c r="J40" i="6"/>
  <c r="J41" i="6" s="1"/>
  <c r="I40" i="6"/>
  <c r="I41" i="6" s="1"/>
  <c r="H40" i="6"/>
  <c r="H41" i="6" s="1"/>
  <c r="F40" i="6"/>
  <c r="F41" i="6" s="1"/>
  <c r="D40" i="6"/>
  <c r="D41" i="6" s="1"/>
  <c r="G40" i="6"/>
  <c r="G41" i="6" s="1"/>
  <c r="L40" i="6"/>
  <c r="L41" i="6" s="1"/>
  <c r="K40" i="6"/>
  <c r="K41" i="6" s="1"/>
  <c r="AN4" i="9"/>
  <c r="AO4" i="9"/>
  <c r="AF24" i="11"/>
  <c r="R40" i="6"/>
  <c r="AK9" i="9"/>
  <c r="B43" i="6"/>
  <c r="C43" i="6" s="1"/>
  <c r="B2" i="7" a="1"/>
  <c r="B2" i="7" s="1"/>
  <c r="D7" i="4"/>
  <c r="AH5" i="11"/>
  <c r="AL3" i="9"/>
  <c r="AL9" i="9" s="1"/>
  <c r="B5" i="7" a="1"/>
  <c r="B5" i="7" s="1"/>
  <c r="H7" i="4"/>
  <c r="S9" i="9"/>
  <c r="AG25" i="6" s="1"/>
  <c r="AM3" i="9"/>
  <c r="AP3" i="9"/>
  <c r="AP9" i="9" s="1"/>
  <c r="D72" i="4" s="1"/>
  <c r="AQ3" i="9"/>
  <c r="AJ9" i="9"/>
  <c r="D32" i="4" s="1"/>
  <c r="AN8" i="9" l="1"/>
  <c r="AO8" i="9"/>
  <c r="AQ9" i="9"/>
  <c r="D52" i="4" s="1"/>
  <c r="D8" i="4"/>
  <c r="H13" i="4"/>
  <c r="D35" i="4"/>
  <c r="D33" i="4"/>
  <c r="D55" i="4"/>
  <c r="D73" i="4"/>
  <c r="AJ10" i="10"/>
  <c r="B54" i="6" s="1"/>
  <c r="B56" i="6" s="1"/>
  <c r="AO5" i="9"/>
  <c r="E11" i="6"/>
  <c r="E10" i="6"/>
  <c r="C47" i="6"/>
  <c r="C46" i="6" s="1"/>
  <c r="L55" i="6"/>
  <c r="L56" i="6" s="1"/>
  <c r="E55" i="6"/>
  <c r="E56" i="6" s="1"/>
  <c r="G55" i="6"/>
  <c r="G56" i="6" s="1"/>
  <c r="F55" i="6"/>
  <c r="F56" i="6" s="1"/>
  <c r="D55" i="6"/>
  <c r="D56" i="6" s="1"/>
  <c r="C56" i="6"/>
  <c r="K55" i="6"/>
  <c r="K56" i="6" s="1"/>
  <c r="H55" i="6"/>
  <c r="H56" i="6" s="1"/>
  <c r="C64" i="6"/>
  <c r="J55" i="6"/>
  <c r="J56" i="6" s="1"/>
  <c r="D43" i="6"/>
  <c r="E43" i="6" s="1"/>
  <c r="F43" i="6" s="1"/>
  <c r="G43" i="6" s="1"/>
  <c r="H43" i="6" s="1"/>
  <c r="I43" i="6" s="1"/>
  <c r="J43" i="6" s="1"/>
  <c r="K43" i="6" s="1"/>
  <c r="L43" i="6" s="1"/>
  <c r="AH25" i="6"/>
  <c r="AU15" i="6"/>
  <c r="AG34" i="6"/>
  <c r="AG26" i="6"/>
  <c r="R56" i="6"/>
  <c r="W55" i="6"/>
  <c r="W56" i="6" s="1"/>
  <c r="S55" i="6"/>
  <c r="S56" i="6" s="1"/>
  <c r="AA55" i="6"/>
  <c r="AA56" i="6" s="1"/>
  <c r="Z55" i="6"/>
  <c r="Z56" i="6" s="1"/>
  <c r="V55" i="6"/>
  <c r="V56" i="6" s="1"/>
  <c r="Y55" i="6"/>
  <c r="Y56" i="6" s="1"/>
  <c r="R64" i="6"/>
  <c r="X55" i="6"/>
  <c r="X56" i="6" s="1"/>
  <c r="U55" i="6"/>
  <c r="U56" i="6" s="1"/>
  <c r="T55" i="6"/>
  <c r="T56" i="6" s="1"/>
  <c r="AF3" i="12"/>
  <c r="AF6" i="12" s="1"/>
  <c r="AE6" i="12"/>
  <c r="Q58" i="6"/>
  <c r="H16" i="4"/>
  <c r="H8" i="4"/>
  <c r="AF39" i="6"/>
  <c r="C45" i="6"/>
  <c r="AD6" i="12"/>
  <c r="AG3" i="12"/>
  <c r="AM9" i="9"/>
  <c r="AM87" i="9" s="1"/>
  <c r="AO3" i="9"/>
  <c r="AN3" i="9"/>
  <c r="B59" i="6" a="1"/>
  <c r="Z40" i="6"/>
  <c r="Z41" i="6" s="1"/>
  <c r="X40" i="6"/>
  <c r="X41" i="6" s="1"/>
  <c r="W40" i="6"/>
  <c r="W41" i="6" s="1"/>
  <c r="V40" i="6"/>
  <c r="V41" i="6" s="1"/>
  <c r="T40" i="6"/>
  <c r="T41" i="6" s="1"/>
  <c r="S40" i="6"/>
  <c r="S41" i="6" s="1"/>
  <c r="U40" i="6"/>
  <c r="U41" i="6" s="1"/>
  <c r="AA40" i="6"/>
  <c r="AA41" i="6" s="1"/>
  <c r="R49" i="6"/>
  <c r="Y40" i="6"/>
  <c r="Y41" i="6" s="1"/>
  <c r="R41" i="6"/>
  <c r="D47" i="4"/>
  <c r="D27" i="4"/>
  <c r="D67" i="4"/>
  <c r="B3" i="7" a="1"/>
  <c r="B3" i="7" s="1"/>
  <c r="B59" i="6" l="1"/>
  <c r="H19" i="4" s="1"/>
  <c r="D53" i="4"/>
  <c r="H17" i="4"/>
  <c r="H18" i="4"/>
  <c r="AG40" i="6"/>
  <c r="AG41" i="6" s="1"/>
  <c r="C63" i="6"/>
  <c r="R62" i="6"/>
  <c r="R61" i="6" s="1"/>
  <c r="AF41" i="6"/>
  <c r="C25" i="6" a="1"/>
  <c r="C25" i="6" s="1"/>
  <c r="C34" i="6" s="1"/>
  <c r="R25" i="6"/>
  <c r="B7" i="7"/>
  <c r="R58" i="6"/>
  <c r="S58" i="6" s="1"/>
  <c r="T58" i="6" s="1"/>
  <c r="U58" i="6" s="1"/>
  <c r="V58" i="6" s="1"/>
  <c r="W58" i="6" s="1"/>
  <c r="X58" i="6" s="1"/>
  <c r="Y58" i="6" s="1"/>
  <c r="Z58" i="6" s="1"/>
  <c r="AA58" i="6" s="1"/>
  <c r="R63" i="6"/>
  <c r="D76" i="4"/>
  <c r="D68" i="4"/>
  <c r="D28" i="4"/>
  <c r="D36" i="4"/>
  <c r="AH3" i="12"/>
  <c r="AH6" i="12" s="1"/>
  <c r="AG6" i="12"/>
  <c r="AG28" i="6"/>
  <c r="AG33" i="6"/>
  <c r="AU19" i="6" s="1"/>
  <c r="Q29" i="6" a="1"/>
  <c r="Q29" i="6" s="1"/>
  <c r="D39" i="4" s="1"/>
  <c r="B24" i="6" a="1"/>
  <c r="B29" i="6" a="1"/>
  <c r="B29" i="6" s="1"/>
  <c r="D59" i="4" s="1"/>
  <c r="Q24" i="6" a="1"/>
  <c r="Q24" i="6" s="1"/>
  <c r="AI25" i="6"/>
  <c r="AH26" i="6"/>
  <c r="D56" i="4"/>
  <c r="D48" i="4"/>
  <c r="R47" i="6"/>
  <c r="R46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R45" i="6"/>
  <c r="R48" i="6"/>
  <c r="R60" i="6"/>
  <c r="AO87" i="9"/>
  <c r="C60" i="6"/>
  <c r="C62" i="6"/>
  <c r="B58" i="6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B24" i="6" l="1"/>
  <c r="D77" i="4"/>
  <c r="D37" i="4"/>
  <c r="D57" i="4"/>
  <c r="D38" i="4"/>
  <c r="D78" i="4"/>
  <c r="D58" i="4"/>
  <c r="AN40" i="6"/>
  <c r="AN41" i="6" s="1"/>
  <c r="AL40" i="6"/>
  <c r="AL41" i="6" s="1"/>
  <c r="AO40" i="6"/>
  <c r="AO41" i="6" s="1"/>
  <c r="AM40" i="6"/>
  <c r="AM41" i="6" s="1"/>
  <c r="AG49" i="6"/>
  <c r="AP40" i="6"/>
  <c r="AP41" i="6" s="1"/>
  <c r="AI40" i="6"/>
  <c r="AI41" i="6" s="1"/>
  <c r="AH40" i="6"/>
  <c r="AH41" i="6" s="1"/>
  <c r="AJ40" i="6"/>
  <c r="AJ41" i="6" s="1"/>
  <c r="AK40" i="6"/>
  <c r="AK41" i="6" s="1"/>
  <c r="C3" i="7"/>
  <c r="AH28" i="6"/>
  <c r="AI26" i="6"/>
  <c r="AJ25" i="6"/>
  <c r="AT14" i="6"/>
  <c r="Q26" i="6"/>
  <c r="C7" i="7"/>
  <c r="C6" i="7"/>
  <c r="C4" i="7"/>
  <c r="C2" i="7"/>
  <c r="C5" i="7"/>
  <c r="D25" i="6"/>
  <c r="AS15" i="6"/>
  <c r="C26" i="6"/>
  <c r="R34" i="6"/>
  <c r="S25" i="6"/>
  <c r="AT15" i="6"/>
  <c r="R26" i="6"/>
  <c r="AF43" i="6"/>
  <c r="AG43" i="6" s="1"/>
  <c r="C61" i="6"/>
  <c r="AG48" i="6"/>
  <c r="B26" i="6" l="1"/>
  <c r="B28" i="6" s="1"/>
  <c r="C28" i="6" s="1"/>
  <c r="AS14" i="6"/>
  <c r="AG47" i="6"/>
  <c r="AG46" i="6" s="1"/>
  <c r="AG45" i="6"/>
  <c r="AH43" i="6"/>
  <c r="AI43" i="6" s="1"/>
  <c r="AJ43" i="6" s="1"/>
  <c r="AK43" i="6" s="1"/>
  <c r="AL43" i="6" s="1"/>
  <c r="AM43" i="6" s="1"/>
  <c r="AN43" i="6" s="1"/>
  <c r="AO43" i="6" s="1"/>
  <c r="AP43" i="6" s="1"/>
  <c r="AI28" i="6"/>
  <c r="AK25" i="6"/>
  <c r="AJ26" i="6"/>
  <c r="E25" i="6"/>
  <c r="D26" i="6"/>
  <c r="S26" i="6"/>
  <c r="T25" i="6"/>
  <c r="Q28" i="6"/>
  <c r="R28" i="6" s="1"/>
  <c r="C33" i="6"/>
  <c r="AS19" i="6" s="1"/>
  <c r="R33" i="6"/>
  <c r="AT19" i="6" s="1"/>
  <c r="AJ28" i="6" l="1"/>
  <c r="S28" i="6"/>
  <c r="D28" i="6"/>
  <c r="E26" i="6"/>
  <c r="F25" i="6"/>
  <c r="AL25" i="6"/>
  <c r="AK26" i="6"/>
  <c r="U25" i="6"/>
  <c r="T26" i="6"/>
  <c r="T28" i="6" l="1"/>
  <c r="AK28" i="6"/>
  <c r="U26" i="6"/>
  <c r="V25" i="6"/>
  <c r="G25" i="6"/>
  <c r="F26" i="6"/>
  <c r="E28" i="6"/>
  <c r="AM25" i="6"/>
  <c r="AL26" i="6"/>
  <c r="U28" i="6" l="1"/>
  <c r="AL28" i="6"/>
  <c r="F28" i="6"/>
  <c r="H25" i="6"/>
  <c r="G26" i="6"/>
  <c r="V26" i="6"/>
  <c r="W25" i="6"/>
  <c r="AN25" i="6"/>
  <c r="AM26" i="6"/>
  <c r="V28" i="6" l="1"/>
  <c r="AM28" i="6"/>
  <c r="AO25" i="6"/>
  <c r="AN26" i="6"/>
  <c r="W26" i="6"/>
  <c r="X25" i="6"/>
  <c r="G28" i="6"/>
  <c r="H26" i="6"/>
  <c r="I25" i="6"/>
  <c r="AN28" i="6" l="1"/>
  <c r="H28" i="6"/>
  <c r="W28" i="6"/>
  <c r="J25" i="6"/>
  <c r="I26" i="6"/>
  <c r="X26" i="6"/>
  <c r="Y25" i="6"/>
  <c r="AP25" i="6"/>
  <c r="AP26" i="6" s="1"/>
  <c r="AO26" i="6"/>
  <c r="AO28" i="6" l="1"/>
  <c r="AP28" i="6" s="1"/>
  <c r="X28" i="6"/>
  <c r="I28" i="6"/>
  <c r="J26" i="6"/>
  <c r="K25" i="6"/>
  <c r="AG32" i="6"/>
  <c r="AG30" i="6"/>
  <c r="AU17" i="6" s="1"/>
  <c r="Z25" i="6"/>
  <c r="Y26" i="6"/>
  <c r="Y28" i="6" l="1"/>
  <c r="J28" i="6"/>
  <c r="AA25" i="6"/>
  <c r="AA26" i="6" s="1"/>
  <c r="Z26" i="6"/>
  <c r="AU16" i="6"/>
  <c r="AG31" i="6"/>
  <c r="AU18" i="6" s="1"/>
  <c r="L25" i="6"/>
  <c r="L26" i="6" s="1"/>
  <c r="K26" i="6"/>
  <c r="Z28" i="6" l="1"/>
  <c r="AA28" i="6" s="1"/>
  <c r="K28" i="6"/>
  <c r="L28" i="6" s="1"/>
  <c r="C32" i="6"/>
  <c r="C30" i="6"/>
  <c r="AS17" i="6" s="1"/>
  <c r="R30" i="6"/>
  <c r="AT17" i="6" s="1"/>
  <c r="R32" i="6"/>
  <c r="R31" i="6" l="1"/>
  <c r="AT18" i="6" s="1"/>
  <c r="AT16" i="6"/>
  <c r="AS20" i="6"/>
  <c r="AW15" i="6"/>
  <c r="AW13" i="6"/>
  <c r="AW18" i="6"/>
  <c r="C31" i="6"/>
  <c r="AS18" i="6" s="1"/>
  <c r="AS16" i="6"/>
  <c r="AW16" i="6"/>
  <c r="AW14" i="6"/>
  <c r="AW1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tc={E371DA82-A8A9-4ACE-A0DA-11F08B7DD798}</author>
    <author>tc={5ED02AF7-95D1-4AB3-BC2C-0DF6084AF5ED}</author>
  </authors>
  <commentList>
    <comment ref="K2" authorId="0" shapeId="0" xr:uid="{E371DA82-A8A9-4ACE-A0DA-11F08B7DD79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Ar-condicionado sempre 0,7
</t>
      </text>
    </comment>
    <comment ref="O2" authorId="1" shapeId="0" xr:uid="{5ED02AF7-95D1-4AB3-BC2C-0DF6084AF5E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Areas administrativas não possuem gap de meses (ferias), já salas de aula e refeitorios, sim 2 meses de gap no periodo de férias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tc={38B345D5-909A-46A6-98E0-8CDC2129C4E6}</author>
    <author>tc={9AE46E93-BFE0-4D63-9C8F-AFD2A1AFE3E5}</author>
  </authors>
  <commentList>
    <comment ref="E2" authorId="0" shapeId="0" xr:uid="{38B345D5-909A-46A6-98E0-8CDC2129C4E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
</t>
      </text>
    </comment>
    <comment ref="F2" authorId="1" shapeId="0" xr:uid="{9AE46E93-BFE0-4D63-9C8F-AFD2A1AFE3E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Voltxs</author>
  </authors>
  <commentList>
    <comment ref="B4" authorId="0" shapeId="0" xr:uid="{00000000-0006-0000-0500-000001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 Real (se Lucro Presumido = 0%)</t>
        </r>
      </text>
    </comment>
    <comment ref="P22" authorId="0" shapeId="0" xr:uid="{00000000-0006-0000-0500-000002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Lógica de quantidade está errada.</t>
        </r>
      </text>
    </comment>
    <comment ref="B39" authorId="1" shapeId="0" xr:uid="{00000000-0006-0000-0500-000003000000}">
      <text>
        <r>
          <rPr>
            <sz val="11"/>
            <color theme="1"/>
            <rFont val="Aptos Narrow"/>
            <family val="2"/>
            <charset val="1"/>
          </rPr>
          <t>Investimento Ano 0 (Iluminação - Sistema Automatizado):
= -(K7 × (H5 + K8))
  K7 = nº de pontos (1 por pavimento)
  H5 = aquisição + software por ponto
  K8 = mão de obra de instalação por ponto
Anos 1-10: -(K7 × H6 × 12) = mensalidade × 12 meses × pontos.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<sst xmlns="http://schemas.openxmlformats.org/spreadsheetml/2006/main" count="2122" uniqueCount="941">
  <si>
    <t xml:space="preserve">Campo </t>
  </si>
  <si>
    <t>Página</t>
  </si>
  <si>
    <t>Endereço.tex</t>
  </si>
  <si>
    <t>chave</t>
  </si>
  <si>
    <t>valor</t>
  </si>
  <si>
    <t>Inserir Mome do RT</t>
  </si>
  <si>
    <t>Capa</t>
  </si>
  <si>
    <t>TCC_Final_CCEE.tex</t>
  </si>
  <si>
    <t>&lt;&lt;nomeRt&gt;&gt;</t>
  </si>
  <si>
    <t>NOME DA UNIDADE CONSUMIDORA DA PMS</t>
  </si>
  <si>
    <t>&lt;&lt;nomeUc&gt;&gt;</t>
  </si>
  <si>
    <t>Data</t>
  </si>
  <si>
    <t>&lt;&lt;data&gt;&gt;</t>
  </si>
  <si>
    <t>Contra Capa</t>
  </si>
  <si>
    <t>Nome da UC</t>
  </si>
  <si>
    <t>Nome da Unidade</t>
  </si>
  <si>
    <t>capitulo1.tex</t>
  </si>
  <si>
    <t>Código da UC</t>
  </si>
  <si>
    <t>&lt;&lt;codigoUc&gt;&gt;</t>
  </si>
  <si>
    <t>Tipo de Atividade</t>
  </si>
  <si>
    <t>&lt;&lt;tipoAtividade&gt;&gt;</t>
  </si>
  <si>
    <t>Endereço Completo</t>
  </si>
  <si>
    <t>&lt;&lt;endereco&gt;&gt;</t>
  </si>
  <si>
    <t>Responsável / Cargo</t>
  </si>
  <si>
    <t>&lt;&lt;responsavel&gt;&gt;</t>
  </si>
  <si>
    <t>Telefone para Contato</t>
  </si>
  <si>
    <t>&lt;&lt;telefone&gt;&gt;</t>
  </si>
  <si>
    <t>E-mail Institucional</t>
  </si>
  <si>
    <t>&lt;&lt;email&gt;&gt;</t>
  </si>
  <si>
    <t>Adcionar Localidade</t>
  </si>
  <si>
    <t>capitulo3.tex</t>
  </si>
  <si>
    <t>&lt;&lt;localidade&gt;&gt;</t>
  </si>
  <si>
    <t>Iluminação / Medida Proposta</t>
  </si>
  <si>
    <t>capitulo4.tex</t>
  </si>
  <si>
    <t>&lt;&lt;propIluminacao&gt;&gt;</t>
  </si>
  <si>
    <t>Climatização / Medida Proposta</t>
  </si>
  <si>
    <t>&lt;&lt;propClimatizacao&gt;&gt;</t>
  </si>
  <si>
    <t>Motores / Medida Proposta</t>
  </si>
  <si>
    <t>&lt;&lt;propMotores&gt;&gt;</t>
  </si>
  <si>
    <t>Refrigeração / Medida Proposta</t>
  </si>
  <si>
    <t>&lt;&lt;propRefrigeracao&gt;&gt;</t>
  </si>
  <si>
    <t>Fotovoltaico / Medida Proposta</t>
  </si>
  <si>
    <t>&lt;&lt;propFotovoltaico&gt;&gt;</t>
  </si>
  <si>
    <t>Iluminação / Economia (MWh/ano)</t>
  </si>
  <si>
    <t>&lt;&lt;iluEconomia&gt;&gt;</t>
  </si>
  <si>
    <t>Climatização / Economia (MWh/ano)</t>
  </si>
  <si>
    <t>&lt;&lt;cliEconomia&gt;&gt;</t>
  </si>
  <si>
    <t>Motores / Economia (MWh/ano)</t>
  </si>
  <si>
    <t>&lt;&lt;motEconomia&gt;&gt;</t>
  </si>
  <si>
    <t>Refrigeração / Economia (MWh/ano)</t>
  </si>
  <si>
    <t>&lt;&lt;refEconomia&gt;&gt;</t>
  </si>
  <si>
    <t>Fotovoltaico / Economia (MWh/ano)</t>
  </si>
  <si>
    <t>&lt;&lt;fotEconomia&gt;&gt;</t>
  </si>
  <si>
    <t>Total / Economia (MWh/ano)</t>
  </si>
  <si>
    <t>&lt;&lt;totEconomia&gt;&gt;</t>
  </si>
  <si>
    <t>Iluminação / Invest. Total (R$)</t>
  </si>
  <si>
    <t>&lt;&lt;iluInvestimento&gt;&gt;</t>
  </si>
  <si>
    <t>Climatização / Invest. Total (R$)</t>
  </si>
  <si>
    <t>&lt;&lt;cliInvestimento&gt;&gt;</t>
  </si>
  <si>
    <t>Motores / Invest. Total (R$)</t>
  </si>
  <si>
    <t>&lt;&lt;motInvestimento&gt;&gt;</t>
  </si>
  <si>
    <t>Refrigeração / Invest. Total (R$)</t>
  </si>
  <si>
    <t>&lt;&lt;refInvestimento&gt;&gt;</t>
  </si>
  <si>
    <t>Fotovoltaico / Invest. Total (R$)</t>
  </si>
  <si>
    <t>&lt;&lt;fotInvestimento&gt;&gt;</t>
  </si>
  <si>
    <t>Total / Invest. Total (R$)</t>
  </si>
  <si>
    <t>&lt;&lt;totInvestimento&gt;&gt;</t>
  </si>
  <si>
    <t>Iluminação / PB</t>
  </si>
  <si>
    <t>&lt;&lt;iluPayBack&gt;&gt;</t>
  </si>
  <si>
    <t>Climatização / PB</t>
  </si>
  <si>
    <t>&lt;&lt;cliPayBack&gt;&gt;</t>
  </si>
  <si>
    <t>Motores / PB</t>
  </si>
  <si>
    <t>&lt;&lt;motPayBack&gt;&gt;</t>
  </si>
  <si>
    <t>Refrigeração / PB</t>
  </si>
  <si>
    <t>&lt;&lt;refPayBack&gt;&gt;</t>
  </si>
  <si>
    <t>Fotovoltaico / PB</t>
  </si>
  <si>
    <t>&lt;&lt;fotPayBack&gt;&gt;</t>
  </si>
  <si>
    <t>Total / PB</t>
  </si>
  <si>
    <t>&lt;&lt;totPayBack&gt;&gt;</t>
  </si>
  <si>
    <t>capitulo5.tex</t>
  </si>
  <si>
    <t>Gurpo de Tensão</t>
  </si>
  <si>
    <t>capitulo6.tex</t>
  </si>
  <si>
    <t>&lt;&lt;grupoTensao&gt;&gt;</t>
  </si>
  <si>
    <t>Modalidade tarifária</t>
  </si>
  <si>
    <t>&lt;&lt;modalidadeTarifaria&gt;&gt;</t>
  </si>
  <si>
    <t>Demanda contratada</t>
  </si>
  <si>
    <t>&lt;&lt;demandaContratada&gt;&gt;</t>
  </si>
  <si>
    <t>Número da instalação na distribuidora</t>
  </si>
  <si>
    <t>&lt;&lt;codInstalacao&gt;&gt;</t>
  </si>
  <si>
    <t>Código da unidade consumidora</t>
  </si>
  <si>
    <t>Classe de consumo</t>
  </si>
  <si>
    <t>&lt;&lt;classeConsumo&gt;&gt;</t>
  </si>
  <si>
    <t>Consumo/Iluminação kWh</t>
  </si>
  <si>
    <t>&lt;&lt;consumoIluminacao&gt;&gt;</t>
  </si>
  <si>
    <t>Consumo/Climatização kWh</t>
  </si>
  <si>
    <t>&lt;&lt;consumoClimatizacao&gt;&gt;</t>
  </si>
  <si>
    <t>Consumo/Sistema Motrizes kWh</t>
  </si>
  <si>
    <t>&lt;&lt;consumoMotores&gt;&gt;</t>
  </si>
  <si>
    <t>Consumo/Refrigeração kWh</t>
  </si>
  <si>
    <t>&lt;&lt;consumoRefrigeracao&gt;&gt;</t>
  </si>
  <si>
    <t>Consumo/Outros kWh</t>
  </si>
  <si>
    <t>&lt;&lt;consumoOutros&gt;&gt;</t>
  </si>
  <si>
    <t>Consumo/Total kWh</t>
  </si>
  <si>
    <t>&lt;&lt;consumoTotal&gt;&gt;</t>
  </si>
  <si>
    <t>Fig. 7 Distribuição estimada do consumo de energia elétrica por uso final</t>
  </si>
  <si>
    <t>Grafico 1</t>
  </si>
  <si>
    <t>Parâmetro</t>
  </si>
  <si>
    <t>capitulo7.tex</t>
  </si>
  <si>
    <t>&lt;&lt;parametro&gt;&gt;</t>
  </si>
  <si>
    <t>Dado do Parâmetro</t>
  </si>
  <si>
    <t>&lt;&lt;dadoParametro&gt;&gt;</t>
  </si>
  <si>
    <t>Consumo médio mensal</t>
  </si>
  <si>
    <t>&lt;&lt;consMedio&gt;&gt;</t>
  </si>
  <si>
    <t>Consumo específico estimado</t>
  </si>
  <si>
    <t>&lt;&lt;dadoConsEspecifico&gt;&gt;</t>
  </si>
  <si>
    <t>Grupo A ou B</t>
  </si>
  <si>
    <t>capitulo8.tex</t>
  </si>
  <si>
    <t xml:space="preserve">Demanda contratada vigente </t>
  </si>
  <si>
    <t>Primeiro mês analisado</t>
  </si>
  <si>
    <t>&lt;&lt;mesInicial&gt;&gt;</t>
  </si>
  <si>
    <t>Ultimo  mês analisado</t>
  </si>
  <si>
    <t>&lt;&lt;mesFinal&gt;&gt;</t>
  </si>
  <si>
    <t>Distribuidora</t>
  </si>
  <si>
    <t>&lt;&lt;distribuidora&gt;&gt;</t>
  </si>
  <si>
    <t xml:space="preserve">Preço da energia no ultimo mês </t>
  </si>
  <si>
    <t>&lt;&lt;precoRecente&gt;&gt;</t>
  </si>
  <si>
    <t>&lt;&lt;mesUm&gt;&gt;</t>
  </si>
  <si>
    <t>&lt;&lt;mesDois&gt;&gt;</t>
  </si>
  <si>
    <t>&lt;&lt;mesTres&gt;&gt;</t>
  </si>
  <si>
    <t>&lt;&lt;mesQuatro&gt;&gt;</t>
  </si>
  <si>
    <t>&lt;&lt;mesCinco&gt;&gt;</t>
  </si>
  <si>
    <t>&lt;&lt;mesSeis&gt;&gt;</t>
  </si>
  <si>
    <t>&lt;&lt;mesSete&gt;&gt;</t>
  </si>
  <si>
    <t>&lt;&lt;mesOito&gt;&gt;</t>
  </si>
  <si>
    <t>&lt;&lt;mesNove&gt;&gt;</t>
  </si>
  <si>
    <t>&lt;&lt;mesDez&gt;&gt;</t>
  </si>
  <si>
    <t>&lt;&lt;mesOnze&gt;&gt;</t>
  </si>
  <si>
    <t>&lt;&lt;mesDoze&gt;&gt;</t>
  </si>
  <si>
    <t>Consumo Ponta 1</t>
  </si>
  <si>
    <t>&lt;&lt;ConsumoPontaUm&gt;&gt;</t>
  </si>
  <si>
    <t>Consumo Ponta 2</t>
  </si>
  <si>
    <t>&lt;&lt;ConsumoPontaDois&gt;&gt;</t>
  </si>
  <si>
    <t>Consumo Ponta 3</t>
  </si>
  <si>
    <t>&lt;&lt;ConsumoPontaTres&gt;&gt;</t>
  </si>
  <si>
    <t>Consumo Ponta 4</t>
  </si>
  <si>
    <t>&lt;&lt;ConsumoPontaQuatro&gt;&gt;</t>
  </si>
  <si>
    <t>Consumo Ponta 5</t>
  </si>
  <si>
    <t>&lt;&lt;ConsumoPontaCinco&gt;&gt;</t>
  </si>
  <si>
    <t>Consumo Ponta 6</t>
  </si>
  <si>
    <t>&lt;&lt;ConsumoPontaSeis&gt;&gt;</t>
  </si>
  <si>
    <t>Consumo Ponta 7</t>
  </si>
  <si>
    <t>&lt;&lt;ConsumoPontaSete&gt;&gt;</t>
  </si>
  <si>
    <t>Consumo Ponta 8</t>
  </si>
  <si>
    <t>&lt;&lt;ConsumoPontaOito&gt;&gt;</t>
  </si>
  <si>
    <t>Consumo Ponta 9</t>
  </si>
  <si>
    <t>&lt;&lt;ConsumoPontaNove&gt;&gt;</t>
  </si>
  <si>
    <t>Consumo Ponta 10</t>
  </si>
  <si>
    <t>&lt;&lt;ConsumoPontaDez&gt;&gt;</t>
  </si>
  <si>
    <t>Consumo Ponta 11</t>
  </si>
  <si>
    <t>&lt;&lt;ConsumoPontaOnze&gt;&gt;</t>
  </si>
  <si>
    <t>Consumo Ponta 12</t>
  </si>
  <si>
    <t>&lt;&lt;ConsumoPontaDoze&gt;&gt;</t>
  </si>
  <si>
    <t>Consumo Fora Ponta 1</t>
  </si>
  <si>
    <t>&lt;&lt;ConsumoForaPontaUm&gt;&gt;</t>
  </si>
  <si>
    <t>Consumo Fora Ponta 2</t>
  </si>
  <si>
    <t>&lt;&lt;ConsumoForaPontaDois&gt;&gt;</t>
  </si>
  <si>
    <t>Consumo Fora Ponta 3</t>
  </si>
  <si>
    <t>&lt;&lt;ConsumoForaPontaTres&gt;&gt;</t>
  </si>
  <si>
    <t>Consumo Fora Ponta 4</t>
  </si>
  <si>
    <t>&lt;&lt;ConsumoForaPontaQuatro&gt;&gt;</t>
  </si>
  <si>
    <t>Consumo Fora Ponta 5</t>
  </si>
  <si>
    <t>&lt;&lt;ConsumoForaPontaCinco&gt;&gt;</t>
  </si>
  <si>
    <t>Consumo Fora Ponta 6</t>
  </si>
  <si>
    <t>&lt;&lt;ConsumoForaPontaSeis&gt;&gt;</t>
  </si>
  <si>
    <t>Consumo Fora Ponta 7</t>
  </si>
  <si>
    <t>&lt;&lt;ConsumoForaPontaSete&gt;&gt;</t>
  </si>
  <si>
    <t>Consumo Fora Ponta 8</t>
  </si>
  <si>
    <t>&lt;&lt;ConsumoForaPontaOito&gt;&gt;</t>
  </si>
  <si>
    <t>Consumo Fora Ponta 9</t>
  </si>
  <si>
    <t>&lt;&lt;ConsumoForaPontaNove&gt;&gt;</t>
  </si>
  <si>
    <t>Consumo Fora Ponta 10</t>
  </si>
  <si>
    <t>&lt;&lt;ConsumoForaPontaDez&gt;&gt;</t>
  </si>
  <si>
    <t>Consumo Fora Ponta 11</t>
  </si>
  <si>
    <t>&lt;&lt;ConsumoForaPontaOnze&gt;&gt;</t>
  </si>
  <si>
    <t>Consumo Fora Ponta 12</t>
  </si>
  <si>
    <t>&lt;&lt;ConsumoForaPontaDoze&gt;&gt;</t>
  </si>
  <si>
    <t xml:space="preserve">Consumo Total 1 </t>
  </si>
  <si>
    <t>&lt;&lt;ConsumoTotalUm&gt;&gt;</t>
  </si>
  <si>
    <t>Consumo Total 2</t>
  </si>
  <si>
    <t>&lt;&lt;ConsumoTotalDois&gt;&gt;</t>
  </si>
  <si>
    <t>Consumo Total 3</t>
  </si>
  <si>
    <t>&lt;&lt;ConsumoTotalTres&gt;&gt;</t>
  </si>
  <si>
    <t>Consumo Total 4</t>
  </si>
  <si>
    <t>&lt;&lt;ConsumoTotalQuatro&gt;&gt;</t>
  </si>
  <si>
    <t>Consumo Total 5</t>
  </si>
  <si>
    <t>&lt;&lt;ConsumoTotalCinco&gt;&gt;</t>
  </si>
  <si>
    <t>Consumo Total 6</t>
  </si>
  <si>
    <t>&lt;&lt;ConsumoTotalSeis&gt;&gt;</t>
  </si>
  <si>
    <t>Consumo Total 7</t>
  </si>
  <si>
    <t>&lt;&lt;ConsumoTotalSete&gt;&gt;</t>
  </si>
  <si>
    <t>Consumo Total 8</t>
  </si>
  <si>
    <t>&lt;&lt;ConsumoTotalOito&gt;&gt;</t>
  </si>
  <si>
    <t>Consumo Total 9</t>
  </si>
  <si>
    <t>&lt;&lt;ConsumoTotalNove&gt;&gt;</t>
  </si>
  <si>
    <t>Consumo Total 10</t>
  </si>
  <si>
    <t>&lt;&lt;ConsumoTotalDez&gt;&gt;</t>
  </si>
  <si>
    <t>Consumo Total 11</t>
  </si>
  <si>
    <t>&lt;&lt;ConsumoTotalOnze&gt;&gt;</t>
  </si>
  <si>
    <t>Consumo Total 12</t>
  </si>
  <si>
    <t>&lt;&lt;ConsumoTotalDoze&gt;&gt;</t>
  </si>
  <si>
    <t>Demanda Ponta 1</t>
  </si>
  <si>
    <t>&lt;&lt;DemandaPontaUm&gt;&gt;</t>
  </si>
  <si>
    <t>Demanda Ponta 2</t>
  </si>
  <si>
    <t>&lt;&lt;DemandaPontaDois&gt;&gt;</t>
  </si>
  <si>
    <t>Demanda Ponta 3</t>
  </si>
  <si>
    <t>&lt;&lt;DemandaPontaTres&gt;&gt;</t>
  </si>
  <si>
    <t>Demanda Ponta 4</t>
  </si>
  <si>
    <t>&lt;&lt;DemandaPontaQuatro&gt;&gt;</t>
  </si>
  <si>
    <t>Demanda Ponta 5</t>
  </si>
  <si>
    <t>&lt;&lt;DemandaPontaCinco&gt;&gt;</t>
  </si>
  <si>
    <t>Demanda Ponta 6</t>
  </si>
  <si>
    <t>&lt;&lt;DemandaPontaSeis&gt;&gt;</t>
  </si>
  <si>
    <t>Demanda Ponta 7</t>
  </si>
  <si>
    <t>&lt;&lt;DemandaPontaSete&gt;&gt;</t>
  </si>
  <si>
    <t>Demanda Ponta 8</t>
  </si>
  <si>
    <t>&lt;&lt;DemandaPontaOito&gt;&gt;</t>
  </si>
  <si>
    <t>Demanda Ponta 9</t>
  </si>
  <si>
    <t>&lt;&lt;DemandaPontaNove&gt;&gt;</t>
  </si>
  <si>
    <t>Demanda Ponta 10</t>
  </si>
  <si>
    <t>&lt;&lt;DemandaPontaDez&gt;&gt;</t>
  </si>
  <si>
    <t>Demanda Ponta 11</t>
  </si>
  <si>
    <t>&lt;&lt;DemandaPontaOnze&gt;&gt;</t>
  </si>
  <si>
    <t>Demanda Ponta 12</t>
  </si>
  <si>
    <t>&lt;&lt;DemandaPontaDoze&gt;&gt;</t>
  </si>
  <si>
    <t>Demanda Fora Ponta 1</t>
  </si>
  <si>
    <t>&lt;&lt;DemandaForaPontaUm&gt;&gt;</t>
  </si>
  <si>
    <t>Demanda Fora Ponta 2</t>
  </si>
  <si>
    <t>&lt;&lt;DemandaForaPontaDois&gt;&gt;</t>
  </si>
  <si>
    <t>Demanda Fora Ponta 3</t>
  </si>
  <si>
    <t>&lt;&lt;DemandaForaPontaTres&gt;&gt;</t>
  </si>
  <si>
    <t>Demanda Fora Ponta 4</t>
  </si>
  <si>
    <t>&lt;&lt;DemandaForaPontaQuatro&gt;&gt;</t>
  </si>
  <si>
    <t>Demanda Fora Ponta 5</t>
  </si>
  <si>
    <t>&lt;&lt;DemandaForaPontaCinco&gt;&gt;</t>
  </si>
  <si>
    <t>Demanda Fora Ponta 6</t>
  </si>
  <si>
    <t>&lt;&lt;DemandaForaPontaSeis&gt;&gt;</t>
  </si>
  <si>
    <t>Demanda Fora Ponta 7</t>
  </si>
  <si>
    <t>&lt;&lt;DemandaForaPontaSete&gt;&gt;</t>
  </si>
  <si>
    <t>Demanda Fora Ponta 8</t>
  </si>
  <si>
    <t>&lt;&lt;DemandaForaPontaOito&gt;&gt;</t>
  </si>
  <si>
    <t>Demanda Fora Ponta 9</t>
  </si>
  <si>
    <t>&lt;&lt;DemandaForaPontaNove&gt;&gt;</t>
  </si>
  <si>
    <t>Demanda Fora Ponta 10</t>
  </si>
  <si>
    <t>&lt;&lt;DemandaForaPontaDez&gt;&gt;</t>
  </si>
  <si>
    <t>Demanda Fora Ponta 11</t>
  </si>
  <si>
    <t>&lt;&lt;DemandaForaPontaOnze&gt;&gt;</t>
  </si>
  <si>
    <t>Demanda Fora Ponta 12</t>
  </si>
  <si>
    <t>&lt;&lt;DemandaForaPontaDoze&gt;&gt;</t>
  </si>
  <si>
    <t>Grafico Perfil de Consumo</t>
  </si>
  <si>
    <t>capitulo10.tex</t>
  </si>
  <si>
    <t>Grafico 2.png</t>
  </si>
  <si>
    <t>Grafico 2</t>
  </si>
  <si>
    <t>Maior consumo registrado</t>
  </si>
  <si>
    <t>&lt;&lt;maiorConsumo&gt;&gt;</t>
  </si>
  <si>
    <t>Mês e ano do maior consumo</t>
  </si>
  <si>
    <t>&lt;&lt;mesMaiorConsumo&gt;&gt;</t>
  </si>
  <si>
    <t>Mêses de menor consumo</t>
  </si>
  <si>
    <t>&lt;&lt;mesMenorConsumo&gt;&gt;</t>
  </si>
  <si>
    <t>Consumo total no período</t>
  </si>
  <si>
    <t>Custo anual de energia elétrica</t>
  </si>
  <si>
    <t>&lt;&lt;custoAnualEnergia&gt;&gt;</t>
  </si>
  <si>
    <t>Custo unitário</t>
  </si>
  <si>
    <t>&lt;&lt;custoUnitario&gt;&gt;</t>
  </si>
  <si>
    <t>Fator de carga médio estimado</t>
  </si>
  <si>
    <t>&lt;&lt;fatorCargaMedio&gt;&gt;</t>
  </si>
  <si>
    <t>Potencial Total Sistema Atual Iluminação</t>
  </si>
  <si>
    <t>capitulo11.tex</t>
  </si>
  <si>
    <t>&lt;&lt;potenciaTotalAtualIlum&gt;&gt;</t>
  </si>
  <si>
    <t>Consumo de Energia Anual Sistema Atual Iluminação</t>
  </si>
  <si>
    <t>&lt;&lt;consumoEnergiaAtualIlum&gt;&gt;</t>
  </si>
  <si>
    <t>Despesa Mensal com Energia Elétrica Sistema Atual Iluminação</t>
  </si>
  <si>
    <t>&lt;&lt;despesaMensalAtualIlum&gt;&gt;</t>
  </si>
  <si>
    <t>Potencial Total Sistema Proposto Iluminação</t>
  </si>
  <si>
    <t>&lt;&lt;potenciaTotalPropIlum&gt;&gt;</t>
  </si>
  <si>
    <t>Consumo de Energia Anual Sistema Proposto Iluminação</t>
  </si>
  <si>
    <t>&lt;&lt;consumoEnergiaIPropIlum&gt;&gt;</t>
  </si>
  <si>
    <t>Despesa Mensal com Energia Elétrica Sistema Proposto Iluminação</t>
  </si>
  <si>
    <t>&lt;&lt;despesaMensalPropIlum&gt;&gt;</t>
  </si>
  <si>
    <t>Redução de Demanda Iluminação</t>
  </si>
  <si>
    <t>&lt;&lt;reduDemandaIlum&gt;&gt;</t>
  </si>
  <si>
    <t>Redução do Consumo de Energia Anual Iluminação</t>
  </si>
  <si>
    <t>&lt;&lt;reduConsuAnualIlum&gt;&gt;</t>
  </si>
  <si>
    <t>Redução Percentual do Consumo de Energia Iluminação</t>
  </si>
  <si>
    <t>&lt;&lt;reduPercentConsuIlum&gt;&gt;</t>
  </si>
  <si>
    <t>Economia Mensal na Fatura de Energia Iluminação</t>
  </si>
  <si>
    <t>&lt;&lt;economiaMensalIlum&gt;&gt;</t>
  </si>
  <si>
    <t>Investimento Necessário Estimado Iluminação</t>
  </si>
  <si>
    <t>&lt;&lt;investEstimadoIlum&gt;&gt;</t>
  </si>
  <si>
    <t>Potencial Total Sistema Atual Refrigeração</t>
  </si>
  <si>
    <t>&lt;&lt;potenciaTotalAtualRefrig&gt;&gt;</t>
  </si>
  <si>
    <t>Consumo de Energia Anual Sistema Atual Refrigeração</t>
  </si>
  <si>
    <t>&lt;&lt;consumoEnergiaAtualRefrig&gt;&gt;</t>
  </si>
  <si>
    <t>Despesa Mensal com Energia Elétrica Sistema Atual Refrigeração</t>
  </si>
  <si>
    <t>&lt;&lt;despesaMensalAtualRefrig&gt;&gt;</t>
  </si>
  <si>
    <t>Potencial Total Sistema Proposto Refrigeração</t>
  </si>
  <si>
    <t>&lt;&lt;potenciaTotalPropRefrig&gt;&gt;</t>
  </si>
  <si>
    <t>Consumo de Energia Anual Sistema Proposto Refrigeração</t>
  </si>
  <si>
    <t>&lt;&lt;consumoEnergiaIPropRefrig&gt;&gt;</t>
  </si>
  <si>
    <t>Despesa Mensal com Energia Elétrica Sistema Proposto Refrigeração</t>
  </si>
  <si>
    <t>&lt;&lt;despesaMensalPropRefrig&gt;&gt;</t>
  </si>
  <si>
    <t>Redução de Demanda Refrigeração</t>
  </si>
  <si>
    <t>&lt;&lt;reduDemandaRefrig&gt;&gt;</t>
  </si>
  <si>
    <t>Redução do Consumo de Energia Anual Refrigeração</t>
  </si>
  <si>
    <t>&lt;&lt;reduConsuAnualRefrig&gt;&gt;</t>
  </si>
  <si>
    <t>Redução Percentual do Consumo de Energia Refrigeração</t>
  </si>
  <si>
    <t>&lt;&lt;reduPercentConsuRefrig&gt;&gt;</t>
  </si>
  <si>
    <t>Economia Mensal na Fatura de Energia Refrigeração</t>
  </si>
  <si>
    <t>&lt;&lt;economiaMensalRefrig&gt;&gt;</t>
  </si>
  <si>
    <t>Investimento Necessário Estimado Refrigeração</t>
  </si>
  <si>
    <t>&lt;&lt;investEstimadoRefrig&gt;&gt;</t>
  </si>
  <si>
    <t>Potencial Total Sistema Atual - Apenas Substituição Condicionamento Ambiental</t>
  </si>
  <si>
    <t>&lt;&lt;potenciaTotalAtualSubsCond&gt;&gt;</t>
  </si>
  <si>
    <t>Consumo de Energia Anual Sistema Atual - Apenas Substituição Condicionamento Ambiental</t>
  </si>
  <si>
    <t>&lt;&lt;consumoEnergiaAtualSubsCond&gt;&gt;</t>
  </si>
  <si>
    <t>Despesa Mensal com Energia Elétrica Sistema Atual - Apenas Substituição Condicionamento Ambiental</t>
  </si>
  <si>
    <t>&lt;&lt;despesaMensalAtualSubsCond&gt;&gt;</t>
  </si>
  <si>
    <t>Potencial Total Sistema Proposto - Apenas Substituição Condicionamento Ambiental</t>
  </si>
  <si>
    <t>&lt;&lt;potenciaTotalPropSubsCond&gt;&gt;</t>
  </si>
  <si>
    <t>Consumo de Energia Anual Sistema Proposto - Apenas Substituição Condicionamento Ambiental</t>
  </si>
  <si>
    <t>&lt;&lt;consumoEnergiaIPropSubsCond&gt;&gt;</t>
  </si>
  <si>
    <t>Despesa Mensal com Energia Elétrica Sistema Proposto - Apenas Substituição Condicionamento Ambiental</t>
  </si>
  <si>
    <t>&lt;&lt;despesaMensalPropSubsCond&gt;&gt;</t>
  </si>
  <si>
    <t>Redução de Demanda - Apenas Substituição Condicionamento Ambiental</t>
  </si>
  <si>
    <t>&lt;&lt;reduDemandaSubsCond&gt;&gt;</t>
  </si>
  <si>
    <t>Redução do Consumo de Energia Anual - Apenas Substituição Condicionamento Ambiental</t>
  </si>
  <si>
    <t>&lt;&lt;reduConsuAnualSubsCond&gt;&gt;</t>
  </si>
  <si>
    <t>Redução Percentual do Consumo de Energia - Apenas Substituição Condicionamento Ambiental</t>
  </si>
  <si>
    <t>&lt;&lt;reduPercentConsuSubsCond&gt;&gt;</t>
  </si>
  <si>
    <t>Economia Mensal na Fatura de Energia - Apenas Substituição Condicionamento Ambiental</t>
  </si>
  <si>
    <t>&lt;&lt;economiaMensalSubsCond&gt;&gt;</t>
  </si>
  <si>
    <t>Investimento Necessário Estimado - Apenas Substituição Condicionamento Ambiental</t>
  </si>
  <si>
    <t>&lt;&lt;investEstimadoSubsCond&gt;&gt;</t>
  </si>
  <si>
    <t>Potencial Total Sistema Atual - Apenas Automação Condicionamento Ambiental</t>
  </si>
  <si>
    <t>&lt;&lt;potenciaTotalAtualAutoCond&gt;&gt;</t>
  </si>
  <si>
    <t>Consumo de Energia Anual Sistema Atual - Apenas Automação Condicionamento Ambiental</t>
  </si>
  <si>
    <t>&lt;&lt;consumoEnergiaAtualAutoCond&gt;&gt;</t>
  </si>
  <si>
    <t>Despesa Mensal com Energia Elétrica Sistema Atual - Apenas Automação Condicionamento Ambiental</t>
  </si>
  <si>
    <t>&lt;&lt;despesaMensalAtualAutoCond&gt;&gt;</t>
  </si>
  <si>
    <t>Potencial Total Sistema Proposto - Apenas Automação Condicionamento Ambiental</t>
  </si>
  <si>
    <t>&lt;&lt;potenciaTotalPropAutoCond&gt;&gt;</t>
  </si>
  <si>
    <t>Consumo de Energia Anual Sistema Proposto - Apenas Automação Condicionamento Ambiental</t>
  </si>
  <si>
    <t>&lt;&lt;consumoEnergiaIPropAutoCond&gt;&gt;</t>
  </si>
  <si>
    <t>Despesa Mensal com Energia Elétrica Sistema Proposto - Apenas Automação Condicionamento Ambiental</t>
  </si>
  <si>
    <t>&lt;&lt;despesaMensalPropAutoCond&gt;&gt;</t>
  </si>
  <si>
    <t>Redução de Demanda - Apenas Automação Condicionamento Ambiental</t>
  </si>
  <si>
    <t>&lt;&lt;reduDemandaAutoCond&gt;&gt;</t>
  </si>
  <si>
    <t>Redução do Consumo de Energia Anual - Apenas Automação Condicionamento Ambiental</t>
  </si>
  <si>
    <t>&lt;&lt;reduConsuAnualAutoCond&gt;&gt;</t>
  </si>
  <si>
    <t>Redução Percentual do Consumo de Energia - Apenas Automação Condicionamento Ambiental</t>
  </si>
  <si>
    <t>&lt;&lt;reduPercentConsuAutoCond&gt;&gt;</t>
  </si>
  <si>
    <t>Economia Mensal na Fatura de Energia - Apenas Automação Condicionamento Ambiental</t>
  </si>
  <si>
    <t>&lt;&lt;economiaMensalAutoCond&gt;&gt;</t>
  </si>
  <si>
    <t>Investimento Necessário Estimado - Apenas Automação Condicionamento Ambiental</t>
  </si>
  <si>
    <t>&lt;&lt;investEstimadoAutoCond&gt;&gt;</t>
  </si>
  <si>
    <t>Potencial Total Sistema Atual - Automação e Substituição Condicionamento Ambiental</t>
  </si>
  <si>
    <t>&lt;&lt;potenciaTotalAtualAutoSubsCond&gt;&gt;</t>
  </si>
  <si>
    <t>Consumo de Energia Anual Sistema Atual - Automação e Substituição Condicionamento Ambiental</t>
  </si>
  <si>
    <t>&lt;&lt;consumoEnergiaAtualAutoSubsCond&gt;&gt;</t>
  </si>
  <si>
    <t>Despesa Mensal com Energia Elétrica Sistema Atual - Automação e Substituição Condicionamento Ambiental</t>
  </si>
  <si>
    <t>&lt;&lt;despesaMensalAtualAutoSubsCond&gt;&gt;</t>
  </si>
  <si>
    <t>Potencial Total Sistema Proposto - Automação e Substituição Condicionamento Ambiental</t>
  </si>
  <si>
    <t>&lt;&lt;potenciaTotalPropAutoSubsCond&gt;&gt;</t>
  </si>
  <si>
    <t>Consumo de Energia Anual Sistema Proposto - Automação e Substituição Condicionamento Ambiental</t>
  </si>
  <si>
    <t>&lt;&lt;consumoEnergiaIPropAutoSubsCond&gt;&gt;</t>
  </si>
  <si>
    <t>Despesa Mensal com Energia Elétrica Sistema Proposto - Automação e Substituição Condicionamento Ambiental</t>
  </si>
  <si>
    <t>&lt;&lt;despesaMensalPropAutoSubsCond&gt;&gt;</t>
  </si>
  <si>
    <t>Redução de Demanda - Automação e Substituição Condicionamento Ambiental</t>
  </si>
  <si>
    <t>&lt;&lt;reduDemandaAutoSubsCond&gt;&gt;</t>
  </si>
  <si>
    <t>Redução do Consumo de Energia Anual - Automação e Substituição Condicionamento Ambiental</t>
  </si>
  <si>
    <t>&lt;&lt;reduConsuAnualAutoSubsCond&gt;&gt;</t>
  </si>
  <si>
    <t>Redução Percentual do Consumo de Energia - Automação e Substituição Condicionamento Ambiental</t>
  </si>
  <si>
    <t>&lt;&lt;reduPercentConsuAutoSubsCond&gt;&gt;</t>
  </si>
  <si>
    <t>Economia Mensal na Fatura de Energia - Automação e Substituição Condicionamento Ambiental</t>
  </si>
  <si>
    <t>&lt;&lt;economiaMensalAutoSubsCond&gt;&gt;</t>
  </si>
  <si>
    <t>Investimento Necessário Estimado - Automação e Substituição Condicionamento Ambiental</t>
  </si>
  <si>
    <t>&lt;&lt;investEstimadoAutoSubsCond&gt;&gt;</t>
  </si>
  <si>
    <t>&lt;&lt;medidaPropostaIlum&gt;&gt;</t>
  </si>
  <si>
    <t>&lt;&lt;medidaPropostaClimatizacao&gt;&gt;</t>
  </si>
  <si>
    <t>&lt;&lt;medidaPropostaMotores&gt;&gt;</t>
  </si>
  <si>
    <t>&lt;&lt;medidaPropostaRefrigeracao&gt;&gt;</t>
  </si>
  <si>
    <t>Aquecimento de água / Medida Proposta</t>
  </si>
  <si>
    <t>&lt;&lt;medidaPropostaAquecimentoAgua&gt;&gt;</t>
  </si>
  <si>
    <t>&lt;&lt;medidaPropostaFotovoltaico&gt;&gt;</t>
  </si>
  <si>
    <t>&lt;&lt;economiaIlumMWhAno&gt;&gt;</t>
  </si>
  <si>
    <t>&lt;&lt;economiaClimatizacaoMWhAno&gt;&gt;</t>
  </si>
  <si>
    <t>&lt;&lt;economiaMotoresMWhAno&gt;&gt;</t>
  </si>
  <si>
    <t>&lt;&lt;economiaRefrigeracaoMWhAno&gt;&gt;</t>
  </si>
  <si>
    <t>Aquecimento de água / Economia (MWh/ano)</t>
  </si>
  <si>
    <t>&lt;&lt;economiaAquecimentoAguaMWhAno&gt;&gt;</t>
  </si>
  <si>
    <t>&lt;&lt;economiaFotovoltaicoMWhAno&gt;&gt;</t>
  </si>
  <si>
    <t>Iluminação / Redução de demanda (kW)</t>
  </si>
  <si>
    <t>&lt;&lt;reducaoDemandaIlumkW&gt;&gt;</t>
  </si>
  <si>
    <t>Climatização / Redução de demanda (kW)</t>
  </si>
  <si>
    <t>&lt;&lt;reducaoDemandaClimatizacaokW&gt;&gt;</t>
  </si>
  <si>
    <t>Motores / Redução de demanda (kW)</t>
  </si>
  <si>
    <t>&lt;&lt;reducaoDemandaMotoreskW&gt;&gt;</t>
  </si>
  <si>
    <t>Refrigeração / Redução de demanda (kW)</t>
  </si>
  <si>
    <t>&lt;&lt;reducaoDemandaRefrigeracaokW&gt;&gt;</t>
  </si>
  <si>
    <t>Aquecimento de água / Redução de demanda (kW)</t>
  </si>
  <si>
    <t>&lt;&lt;reducaoDemandaAquecimentoAguakW&gt;&gt;</t>
  </si>
  <si>
    <t>Fotovoltaico / Redução de demanda (kW)</t>
  </si>
  <si>
    <t>&lt;&lt;reducaoDemandaFotovoltaicokW&gt;&gt;</t>
  </si>
  <si>
    <t>Iluminação / Investimento (R$)</t>
  </si>
  <si>
    <t>&lt;&lt;investimentoIlumRS&gt;&gt;</t>
  </si>
  <si>
    <t>Climatização / Investimento (R$)</t>
  </si>
  <si>
    <t>&lt;&lt;investimentoClimatizacaoRS&gt;&gt;</t>
  </si>
  <si>
    <t>Motores / Investimento (R$)</t>
  </si>
  <si>
    <t>&lt;&lt;investimentoMotoresRS&gt;&gt;</t>
  </si>
  <si>
    <t>Refrigeração / Investimento (R$)</t>
  </si>
  <si>
    <t>&lt;&lt;investimentoRefrigeracaoRS&gt;&gt;</t>
  </si>
  <si>
    <t>Aquecimento de água / Investimento (R$)</t>
  </si>
  <si>
    <t>&lt;&lt;investimentoAquecimentoAguaRS&gt;&gt;</t>
  </si>
  <si>
    <t>Fotovoltaico / Investimento (R$)</t>
  </si>
  <si>
    <t>&lt;&lt;investimentoFotovoltaicoRS&gt;&gt;</t>
  </si>
  <si>
    <t>Iluminação / Prioridade</t>
  </si>
  <si>
    <t>&lt;&lt;prioridadeIlum&gt;&gt;</t>
  </si>
  <si>
    <t>Climatização / Prioridade</t>
  </si>
  <si>
    <t>&lt;&lt;prioridadeClimatizacao&gt;&gt;</t>
  </si>
  <si>
    <t>Motores / Prioridade</t>
  </si>
  <si>
    <t>&lt;&lt;prioridadeMotores&gt;&gt;</t>
  </si>
  <si>
    <t>Refrigeração / Prioridade</t>
  </si>
  <si>
    <t>&lt;&lt;prioridadeRefrigeracao&gt;&gt;</t>
  </si>
  <si>
    <t>Aquecimento de água / Prioridade</t>
  </si>
  <si>
    <t>&lt;&lt;prioridadeAquecimentoAgua&gt;&gt;</t>
  </si>
  <si>
    <t>Fotovoltaico / Prioridade</t>
  </si>
  <si>
    <t>&lt;&lt;prioridadeFotovoltaico&gt;&gt;</t>
  </si>
  <si>
    <t>faturas disponiveis</t>
  </si>
  <si>
    <t>id_fatura</t>
  </si>
  <si>
    <t>status_pagamento</t>
  </si>
  <si>
    <t>status_leitura</t>
  </si>
  <si>
    <t>nome_empresa_cliente</t>
  </si>
  <si>
    <t>valor_total_em_reais</t>
  </si>
  <si>
    <t>nome_uc</t>
  </si>
  <si>
    <t>tipo_uc</t>
  </si>
  <si>
    <t>nome_grupo_uc</t>
  </si>
  <si>
    <t>tipo_instalacao</t>
  </si>
  <si>
    <t>nome_distribuidora_energia</t>
  </si>
  <si>
    <t>data_emissao</t>
  </si>
  <si>
    <t>data_vencimento</t>
  </si>
  <si>
    <t>periodo_referencia</t>
  </si>
  <si>
    <t>proxima_leitura_fatura</t>
  </si>
  <si>
    <t>leitura_atual_fatura</t>
  </si>
  <si>
    <t>ultima_leitura_fatura</t>
  </si>
  <si>
    <t>numero_dias</t>
  </si>
  <si>
    <t>consumo_minimo</t>
  </si>
  <si>
    <t>id_ultima_fatura</t>
  </si>
  <si>
    <t>periodo_referencia_ultima_fatura</t>
  </si>
  <si>
    <t>demanda_contratada</t>
  </si>
  <si>
    <t>demanda_contratada_ponta</t>
  </si>
  <si>
    <t>demanda_contratada_fora_ponta</t>
  </si>
  <si>
    <t>nome_classe</t>
  </si>
  <si>
    <t>descricao_classe</t>
  </si>
  <si>
    <t>tipo_fornecimento</t>
  </si>
  <si>
    <t>codigo_cliente</t>
  </si>
  <si>
    <t>codigo_instalacao</t>
  </si>
  <si>
    <t>consumo_total</t>
  </si>
  <si>
    <t>consumo_total_com_perda_transformacao</t>
  </si>
  <si>
    <t>consumo_compensado_total</t>
  </si>
  <si>
    <t>consumo_faturado_total</t>
  </si>
  <si>
    <t>energia_total_injetada</t>
  </si>
  <si>
    <t>consumo_ponta</t>
  </si>
  <si>
    <t>consumo_ponta_com_perda_transformacao</t>
  </si>
  <si>
    <t>consumo_fora_ponta</t>
  </si>
  <si>
    <t>consumo_fora_ponta_com_perda_transformacao</t>
  </si>
  <si>
    <t>consumo_intermediario</t>
  </si>
  <si>
    <t>consumo_intermediario_com_perda_transformacao</t>
  </si>
  <si>
    <t>consumo_compensado_ponta</t>
  </si>
  <si>
    <t>consumo_compensado_fora_ponta</t>
  </si>
  <si>
    <t>consumo_compensado_intermediário</t>
  </si>
  <si>
    <t>consumo_faturado_ponta</t>
  </si>
  <si>
    <t>consumo_faturado_fora_ponta</t>
  </si>
  <si>
    <t>consumo_faturado_intermediario</t>
  </si>
  <si>
    <t>demanda_maxima</t>
  </si>
  <si>
    <t>demanda_maxima_ponta</t>
  </si>
  <si>
    <t>demanda_maxima_fora_ponta</t>
  </si>
  <si>
    <t>demanda_de_ultrapassagem</t>
  </si>
  <si>
    <t>demanda_de_ultrapassagem_ponta</t>
  </si>
  <si>
    <t>demanda_de_ultrapassagem_fora_ponta</t>
  </si>
  <si>
    <t>demanda_faturada</t>
  </si>
  <si>
    <t>demanda_faturada_ponta</t>
  </si>
  <si>
    <t>demanda_faturada_fora_ponta</t>
  </si>
  <si>
    <t>consumo_reativo_total</t>
  </si>
  <si>
    <t>consumo_reativo_ponta</t>
  </si>
  <si>
    <t>consumo_reativo_fora_ponta</t>
  </si>
  <si>
    <t>consumo_reativo_excedente_total</t>
  </si>
  <si>
    <t>consumo_reativo_excedente_ponta</t>
  </si>
  <si>
    <t>consumo_reativo_excedente_fora_ponta</t>
  </si>
  <si>
    <t>demanda_reativa_excedente</t>
  </si>
  <si>
    <t>demanda_reativa_excedente_ponta</t>
  </si>
  <si>
    <t>demanda_reativa_excedente_fora_ponta</t>
  </si>
  <si>
    <t>fator_carga_ponta</t>
  </si>
  <si>
    <t>fator_carga_fora_ponta</t>
  </si>
  <si>
    <t>percentual_perda_transformacao</t>
  </si>
  <si>
    <t>creditos_acumulados_anterior</t>
  </si>
  <si>
    <t>creditos_acumulados</t>
  </si>
  <si>
    <t>movimentacao_creditos_mes</t>
  </si>
  <si>
    <t>tarifa_consumo_ponta</t>
  </si>
  <si>
    <t>tarifa_consumo_fora_ponta</t>
  </si>
  <si>
    <t>tarifa_consumo_intermediario</t>
  </si>
  <si>
    <t>tarifa_consumo_convencional</t>
  </si>
  <si>
    <t>tarifa_demanda_maxima</t>
  </si>
  <si>
    <t>tarifa_demanda_de_ultrapassagem</t>
  </si>
  <si>
    <t>tarifa_demanda_de_ultrapassagem_ponta</t>
  </si>
  <si>
    <t>tarifa_demanda_de_ultrapassagem_fora_ponta</t>
  </si>
  <si>
    <t>tarifa_demanda_maxima_ponta</t>
  </si>
  <si>
    <t>tarifa_demanda_maxima_fora_ponta</t>
  </si>
  <si>
    <t>tarifa_consumo_reativo_excedente</t>
  </si>
  <si>
    <t>tarifa_demanda_reativa_excedente</t>
  </si>
  <si>
    <t>tarifa_calculada_demanda_ultrapassada</t>
  </si>
  <si>
    <t>tarifa_calculada_demanda_de_ultrapassagem_ponta</t>
  </si>
  <si>
    <t>tarifa_calculada_demanda_de_ultrapassagem_fora_ponta</t>
  </si>
  <si>
    <t>tarifa_efetiva_de_consumo</t>
  </si>
  <si>
    <t>valor_total_icms</t>
  </si>
  <si>
    <t>base_calculo_icms</t>
  </si>
  <si>
    <t>aliquota_icms</t>
  </si>
  <si>
    <t>valor_total_pis</t>
  </si>
  <si>
    <t>base_calculo_pis</t>
  </si>
  <si>
    <t>aliquota_pis</t>
  </si>
  <si>
    <t>valor_total_cofins</t>
  </si>
  <si>
    <t>base_calculo_cofins</t>
  </si>
  <si>
    <t>aliquota_cofins</t>
  </si>
  <si>
    <t>numero_nota_fiscal</t>
  </si>
  <si>
    <t>url_nota_fiscal</t>
  </si>
  <si>
    <t>chave_acesso_nota_fiscal</t>
  </si>
  <si>
    <t>arquivo_anexo</t>
  </si>
  <si>
    <t>potencial_de_economia_mensal</t>
  </si>
  <si>
    <t>potencial_de_economia_anual</t>
  </si>
  <si>
    <t>potencial_de_economia_12_meses</t>
  </si>
  <si>
    <t>efd0aaeb-5a6f-4882-94c5-f68fdc24c33f</t>
  </si>
  <si>
    <t>Pendente</t>
  </si>
  <si>
    <t>Sucesso</t>
  </si>
  <si>
    <t xml:space="preserve">Prefeitura de Salvador </t>
  </si>
  <si>
    <t>MUNICIPIO DE SALVADOR 744 CMEI OLGA BENARIO</t>
  </si>
  <si>
    <t>Consumidora</t>
  </si>
  <si>
    <t>-</t>
  </si>
  <si>
    <t>Neoenergia Coelba - Bahia</t>
  </si>
  <si>
    <t>Alta Tensão - Verde</t>
  </si>
  <si>
    <t>A4 Horo-sazonal Verde PODER PUBLICO MUNICIPAL</t>
  </si>
  <si>
    <t>Trifásico</t>
  </si>
  <si>
    <t>https://dfe-portal.svrs.rs.gov.br/Nf3e/consulta</t>
  </si>
  <si>
    <t>2926 0415 1396 2900 0194 6600 0958 1290 9110 6404 5386</t>
  </si>
  <si>
    <t>collective-invoice-deea8a88-456f-4091-a6e6-d5784cc86269-35.pdf</t>
  </si>
  <si>
    <t>837ac22a-067c-4438-a24a-7b6f34bf5707</t>
  </si>
  <si>
    <t>Em atraso</t>
  </si>
  <si>
    <t>2926 0315 1396 2900 0194 6600 0950 4163 8910 8451 8124</t>
  </si>
  <si>
    <t>collective-invoice-12601260-bf07-4e7f-b254-7e6122f0dd9f-25.pdf</t>
  </si>
  <si>
    <t>8e6595e3-396c-4675-8e1b-22789a865feb</t>
  </si>
  <si>
    <t>A4 Horo-sazonal Verde PODER PUBLICO PUBLICO</t>
  </si>
  <si>
    <t>2926 0215 1396 2900 0194 6600 0942 9485 1810 0630 5937</t>
  </si>
  <si>
    <t>collective-invoice-daced704-b68a-4dd6-8470-e22789ce44ea-15.pdf</t>
  </si>
  <si>
    <t>2f4256a8-45ef-440c-bfb5-5d569ca2fd29</t>
  </si>
  <si>
    <t>2926 0115 1396 2900 0194 6600 0935 2720 4010 3357 0648</t>
  </si>
  <si>
    <t>collective-invoice-7b320f96-ced8-4aaa-9885-ebb0fb4b5884-25.pdf</t>
  </si>
  <si>
    <t>d322cff7-3df0-46fd-ba6d-c3350bb8d5ab</t>
  </si>
  <si>
    <t>2925 1215 1396 2900 0194 6600 0927 3199 2410 4836 4427</t>
  </si>
  <si>
    <t>collective-invoice-04e96beb-34a5-455b-8925-28e515dab6e7-16.pdf</t>
  </si>
  <si>
    <t>92da71dc-128d-4227-9458-1c77a714807c</t>
  </si>
  <si>
    <t>2925 1115 1396 2900 0194 6600 0919 8979 1710 7891 5848</t>
  </si>
  <si>
    <t>collective-invoice-f044ebe1-ba65-449c-a53f-a4be3e0b6f2d-19.pdf</t>
  </si>
  <si>
    <t>27c161b1-fce1-41c6-98a7-d1c850a87e70</t>
  </si>
  <si>
    <t>2925 0815 1396 2900 0194 6600 0897 7255 4010 5396 8812</t>
  </si>
  <si>
    <t>collective-invoice-b190c713-d90a-47e1-a98e-3287700ea656-15.pdf</t>
  </si>
  <si>
    <t>d7800376-f027-41fe-a21e-e0f0d067ca41</t>
  </si>
  <si>
    <t>2925 0615 1396 2900 0194 5610</t>
  </si>
  <si>
    <t>collective-invoice-ca7fdeb6-dc41-433e-ba48-909609345d55-22.pdf</t>
  </si>
  <si>
    <t>Escola</t>
  </si>
  <si>
    <t>Rua Fernando São Paulo, Dóron</t>
  </si>
  <si>
    <t>Localidade</t>
  </si>
  <si>
    <t>Dóron, Salvador-BA</t>
  </si>
  <si>
    <t xml:space="preserve">Silvia </t>
  </si>
  <si>
    <t xml:space="preserve">Telefone para Contato </t>
  </si>
  <si>
    <t>71 9935-2628</t>
  </si>
  <si>
    <t>E-mail institucional</t>
  </si>
  <si>
    <t>educacao@prefs.com.br</t>
  </si>
  <si>
    <t>Alunos</t>
  </si>
  <si>
    <t>Consumo médio mensal (kWh/mês)</t>
  </si>
  <si>
    <t xml:space="preserve">Resnposável Técnico </t>
  </si>
  <si>
    <t>Luiz Carlos Alves Lima</t>
  </si>
  <si>
    <t>Grupo</t>
  </si>
  <si>
    <t>Preço da Energia do Ultimo Mês</t>
  </si>
  <si>
    <t>Distribuidora de Energia</t>
  </si>
  <si>
    <t>Maior Consumo Registrado (kWh)</t>
  </si>
  <si>
    <t>Mês/Ano do Maior Consumo</t>
  </si>
  <si>
    <t>Mês/Ano do Menor Consumo</t>
  </si>
  <si>
    <t>Mês / Ano</t>
  </si>
  <si>
    <t>Consumo Ponta (kWh)</t>
  </si>
  <si>
    <t>Consumo Fora Ponta (kWh)</t>
  </si>
  <si>
    <t>Consumo Total (kW)</t>
  </si>
  <si>
    <t>Demanda Ponta (kW)</t>
  </si>
  <si>
    <t>Demanda Fora Ponta (kW)</t>
  </si>
  <si>
    <t>Custo anual de energia elétrica (R$)</t>
  </si>
  <si>
    <t>TOTAIS</t>
  </si>
  <si>
    <t>UNIDADE CONSUMIDORA</t>
  </si>
  <si>
    <t>SITUAÇÃO ATUAL</t>
  </si>
  <si>
    <t>SISTEMA PROPOSTO</t>
  </si>
  <si>
    <t>RESULTADOS ESPERADOS</t>
  </si>
  <si>
    <t>RESULTADO AUTOMAÇÃO
(10%)</t>
  </si>
  <si>
    <t xml:space="preserve">AUTOMAÇÃO + TROCA DE EQUIPAMENTO </t>
  </si>
  <si>
    <t>Unidade consumidora (Número da conta contrato)</t>
  </si>
  <si>
    <t>Pavimento</t>
  </si>
  <si>
    <t>Ambiente</t>
  </si>
  <si>
    <t>Descrição do sistema</t>
  </si>
  <si>
    <t>Tipo de equipamento / tecnologia</t>
  </si>
  <si>
    <t>Classificação Inmetro</t>
  </si>
  <si>
    <t>Potência nominal de refrigeração (BTU/h)</t>
  </si>
  <si>
    <t>Coefiente de eficiência energética (W/W)</t>
  </si>
  <si>
    <t>Quantidade</t>
  </si>
  <si>
    <t>Potência instalada (kW)</t>
  </si>
  <si>
    <t>Fator de utilização</t>
  </si>
  <si>
    <t>Potência média utilizada (kW)</t>
  </si>
  <si>
    <t>Funcionamento (h/dia)</t>
  </si>
  <si>
    <t>Funcionamento (h/ano)</t>
  </si>
  <si>
    <t>Meses no ano, de utilização do Sistema</t>
  </si>
  <si>
    <t>Dias úteis no mês, de utilização do Sistema</t>
  </si>
  <si>
    <t>Horas por dia, de utilização do Sistema no horário de Ponta (horas)</t>
  </si>
  <si>
    <t>Fator de coincidência na ponta</t>
  </si>
  <si>
    <t>Energia consumida (MWh/ano)</t>
  </si>
  <si>
    <t>Demanda média na ponta (kW)</t>
  </si>
  <si>
    <t>Preço Unitário
(R$)</t>
  </si>
  <si>
    <t>Meses no ano, de utilização do Sistema no horário de Ponta (meses)</t>
  </si>
  <si>
    <t>Dias úteis no mês, de utilização do Sistema no horário de Ponta (dia)</t>
  </si>
  <si>
    <t>Redução de demanda na ponta (kW)</t>
  </si>
  <si>
    <t>Energia economizada (MWh/ano)</t>
  </si>
  <si>
    <t>Investimento
(R$)</t>
  </si>
  <si>
    <t xml:space="preserve">Redução de consumo proposto em relação ao consumo total da UC (%) 
</t>
  </si>
  <si>
    <t xml:space="preserve">Secretaria </t>
  </si>
  <si>
    <t>Argatto</t>
  </si>
  <si>
    <t>Split Hi-Wall</t>
  </si>
  <si>
    <t>E</t>
  </si>
  <si>
    <t xml:space="preserve">Direção </t>
  </si>
  <si>
    <t xml:space="preserve">Argatto </t>
  </si>
  <si>
    <t xml:space="preserve">Sala dos professores </t>
  </si>
  <si>
    <t>Salas de aula (01 a 07)</t>
  </si>
  <si>
    <t xml:space="preserve">Philco </t>
  </si>
  <si>
    <t>Split Piso Teto</t>
  </si>
  <si>
    <t>A</t>
  </si>
  <si>
    <t>Salas 10 a 14</t>
  </si>
  <si>
    <t xml:space="preserve">Refeitório </t>
  </si>
  <si>
    <t>TOTAL</t>
  </si>
  <si>
    <t>Unidade Consumidora</t>
  </si>
  <si>
    <t>Porte</t>
  </si>
  <si>
    <t>Estado de Conservação</t>
  </si>
  <si>
    <t>Descrição do Sistema</t>
  </si>
  <si>
    <t>Potência nominal (W)</t>
  </si>
  <si>
    <t xml:space="preserve">Meses no ano, de utilização do Sistema </t>
  </si>
  <si>
    <t xml:space="preserve">Porte </t>
  </si>
  <si>
    <t>Potência média utilizada (W)</t>
  </si>
  <si>
    <t>Dias úteis no mês, de utilização do Sistema no horário de Ponta (dias)</t>
  </si>
  <si>
    <t xml:space="preserve">Térreo </t>
  </si>
  <si>
    <t xml:space="preserve">Cozinha </t>
  </si>
  <si>
    <t>Freezer Horizontal</t>
  </si>
  <si>
    <t>Grande</t>
  </si>
  <si>
    <t>Bom</t>
  </si>
  <si>
    <t>Freezers</t>
  </si>
  <si>
    <t xml:space="preserve">Geladeira </t>
  </si>
  <si>
    <t>Refrigeradores</t>
  </si>
  <si>
    <t>Geladeira</t>
  </si>
  <si>
    <t xml:space="preserve">Sala de freezer </t>
  </si>
  <si>
    <t>Anexo</t>
  </si>
  <si>
    <t>Refeitório</t>
  </si>
  <si>
    <t>Pequeno</t>
  </si>
  <si>
    <t xml:space="preserve">Circulação </t>
  </si>
  <si>
    <t>Bebedouro</t>
  </si>
  <si>
    <t>Médio</t>
  </si>
  <si>
    <t>RESULTADO AUTOMAÇÃO
(15%)</t>
  </si>
  <si>
    <t>Lâmpadas</t>
  </si>
  <si>
    <t>Reatores</t>
  </si>
  <si>
    <t>Potência Instalada (kW)</t>
  </si>
  <si>
    <t>Energia economizada 
(MWh/ano)</t>
  </si>
  <si>
    <t>Potência (W)</t>
  </si>
  <si>
    <t>LED</t>
  </si>
  <si>
    <t>Sobrepor</t>
  </si>
  <si>
    <t xml:space="preserve">Banheiro da direção </t>
  </si>
  <si>
    <t xml:space="preserve">Banheiros secretaria </t>
  </si>
  <si>
    <t xml:space="preserve">Depósito </t>
  </si>
  <si>
    <t xml:space="preserve">Banheiros Alunos </t>
  </si>
  <si>
    <t>Sala do freezer</t>
  </si>
  <si>
    <t xml:space="preserve">1 andar </t>
  </si>
  <si>
    <t xml:space="preserve">Banheiros alunos </t>
  </si>
  <si>
    <t xml:space="preserve">Ilum circulação </t>
  </si>
  <si>
    <t>Com Aleta</t>
  </si>
  <si>
    <t xml:space="preserve">Ilum rampa </t>
  </si>
  <si>
    <t xml:space="preserve">Anexo </t>
  </si>
  <si>
    <t xml:space="preserve">Ilum externa </t>
  </si>
  <si>
    <t xml:space="preserve">Lavanderia </t>
  </si>
  <si>
    <t>Área de Serviço</t>
  </si>
  <si>
    <t>Potência do motor (cv)</t>
  </si>
  <si>
    <t>Carregamento</t>
  </si>
  <si>
    <t>Rendimento nominal (%)</t>
  </si>
  <si>
    <t>Rendimento no ponto de carregamento (%)</t>
  </si>
  <si>
    <t xml:space="preserve">TOTAL </t>
  </si>
  <si>
    <t>DADOS DO COLETOR</t>
  </si>
  <si>
    <t>DADOS DO RESERVATÓRIO</t>
  </si>
  <si>
    <t>DADOS DO PROJETO</t>
  </si>
  <si>
    <t>FATOR DE COINCIDÊNCIA NA PONTA</t>
  </si>
  <si>
    <t>Fabricante coletor solar</t>
  </si>
  <si>
    <t>Marca e modelo do coletor solar</t>
  </si>
  <si>
    <t>Área externa (m²)</t>
  </si>
  <si>
    <t>Produção média mensal de energia (kWh/mês)</t>
  </si>
  <si>
    <t>Eficiência energética (%)</t>
  </si>
  <si>
    <t>Produção média mensal de energia por área coletora (kWh/m2×mês)</t>
  </si>
  <si>
    <t>Área coletora por unidade consumidora (m²)</t>
  </si>
  <si>
    <t>Número de coletores solares</t>
  </si>
  <si>
    <t>Fabricante do reservatório térmico</t>
  </si>
  <si>
    <t>Modelo do reservatório térmico</t>
  </si>
  <si>
    <t>Volume do reservatório térmico (L)</t>
  </si>
  <si>
    <t>Perda específica energética mensal (kWh/mês/L)</t>
  </si>
  <si>
    <t>Volume de água quente consumida (L)</t>
  </si>
  <si>
    <t>Número mínimo de reservatórios com apoio elétrico</t>
  </si>
  <si>
    <t>Número médio de chuveiros por UC</t>
  </si>
  <si>
    <t>Potência máxima típica dos chuveiros utilizados (W)</t>
  </si>
  <si>
    <t>Potência média do aquecimento auxiliar</t>
  </si>
  <si>
    <t>Fração solar</t>
  </si>
  <si>
    <t>Nº médio de banhos/dia</t>
  </si>
  <si>
    <t>Tempo médio de banho (min)</t>
  </si>
  <si>
    <t>Vazão típica do chuveiro (L/min)</t>
  </si>
  <si>
    <t>Cidade de referência</t>
  </si>
  <si>
    <t>Fator de correção</t>
  </si>
  <si>
    <t>Número médio de banhos na ponta</t>
  </si>
  <si>
    <t>Número de chuveiros por unidade consumidora</t>
  </si>
  <si>
    <t>Potência nominal do sistema (W)</t>
  </si>
  <si>
    <t>Potência instalada de geração (kW)</t>
  </si>
  <si>
    <t>Dias de funcionamento do sistema, em um ano (dia/ano)</t>
  </si>
  <si>
    <t>Meses no ano, de funcionamento do Sistema no horário de Ponta (meses)</t>
  </si>
  <si>
    <t>Dias úteis no mês, de funcionamento do Sistema no horário de Ponta (dias)</t>
  </si>
  <si>
    <t>Horas por dia, de funcionamento do Sistema no horário de Ponta (horas)</t>
  </si>
  <si>
    <t>Demanda atendida na ponta (kW)</t>
  </si>
  <si>
    <t>Demanda atendida fora de ponta (kW)</t>
  </si>
  <si>
    <t>Energia gerada na ponta (MWh/ano)</t>
  </si>
  <si>
    <t>Energia gerada fora de ponta (MWh/ano)</t>
  </si>
  <si>
    <t>Energia gerada total (MWh/ano)</t>
  </si>
  <si>
    <t>Potência nominal do equipamento (W)</t>
  </si>
  <si>
    <t>Fator de Utilização</t>
  </si>
  <si>
    <t>Potência média na ponta (W)</t>
  </si>
  <si>
    <t xml:space="preserve">Chuveiro Elétrico </t>
  </si>
  <si>
    <t xml:space="preserve">Ventilador </t>
  </si>
  <si>
    <t>Vetilação</t>
  </si>
  <si>
    <t>Ventilação</t>
  </si>
  <si>
    <t xml:space="preserve">Chuveiro elétrico </t>
  </si>
  <si>
    <t xml:space="preserve">Forno elétrico </t>
  </si>
  <si>
    <t xml:space="preserve">Chuveiro </t>
  </si>
  <si>
    <t xml:space="preserve">Microondas </t>
  </si>
  <si>
    <t xml:space="preserve">Máquina de lavar </t>
  </si>
  <si>
    <t>Área de serviço</t>
  </si>
  <si>
    <t>Sistema de Iluminação</t>
  </si>
  <si>
    <t>Sistema de Refrigeração</t>
  </si>
  <si>
    <t>Sistema Atual</t>
  </si>
  <si>
    <t>O sistema composto por luminárias LED, porém sem automação para acionamento e desligamento programado.</t>
  </si>
  <si>
    <t>Sistemas de Refrigeração com baixo índice de eficiência energética e com estado de conservação insatisfatório</t>
  </si>
  <si>
    <t>Potência Total (kW)</t>
  </si>
  <si>
    <t>Consumo de Energia Anual (MWh)</t>
  </si>
  <si>
    <t>Despesa Mensal com Energia Elétrica</t>
  </si>
  <si>
    <t>Sistema Proposto</t>
  </si>
  <si>
    <t>Instalação da automação para acionamento e desligamento programado.</t>
  </si>
  <si>
    <t>Instalação de Sistemas de Refrigeração com alto índice de eficiência energética</t>
  </si>
  <si>
    <t>Despesa mensal com Energia Elétrica</t>
  </si>
  <si>
    <t>Resultados Previstos</t>
  </si>
  <si>
    <t>Redução de Demanda (kW)</t>
  </si>
  <si>
    <t>Redução do Consumo de Energia Anual (MWh)</t>
  </si>
  <si>
    <t>Redução Percentual do Consumo de Energia %</t>
  </si>
  <si>
    <t xml:space="preserve">Economia Mensal na Fatura de Energia </t>
  </si>
  <si>
    <t xml:space="preserve">Investimento Necessário Estimado </t>
  </si>
  <si>
    <t xml:space="preserve">Sistema de Condicionamento Ambiental </t>
  </si>
  <si>
    <t>BESS</t>
  </si>
  <si>
    <t>Sistemas de Condicionamento Ambiental com baixo índice de eficiência energética</t>
  </si>
  <si>
    <t>Instalação de Sistemas de Condicionamento Ambiental com alto índice de eficiência energética</t>
  </si>
  <si>
    <t xml:space="preserve"> </t>
  </si>
  <si>
    <t xml:space="preserve">Setorização da Medição </t>
  </si>
  <si>
    <t>Sistemas de Condicionamento Ambiental sem automação para acionamento e desligamento programado e com baixo índice de eficiência energética</t>
  </si>
  <si>
    <t xml:space="preserve">Uma única medição para um complexo com diversas unidades consumidoras </t>
  </si>
  <si>
    <t>Instalação de Sistemas de Condicionamento Ambiental com alto índice de eficiência energética e com automação para acionamento e desligamento programado.</t>
  </si>
  <si>
    <t>Instalação de uma medição para cada unidade consumidora presente no complexo</t>
  </si>
  <si>
    <t>Sistemas com Motores</t>
  </si>
  <si>
    <t>Sistemas de Condicionamento Ambiental sem automação para acionamento e desligamento programado</t>
  </si>
  <si>
    <t>Uso Final</t>
  </si>
  <si>
    <t>Medida Proposta</t>
  </si>
  <si>
    <t>Economia (MWh/ano)</t>
  </si>
  <si>
    <t>Redução de demanda (kW)</t>
  </si>
  <si>
    <t xml:space="preserve">Investimento (R$) </t>
  </si>
  <si>
    <t>Prioridade</t>
  </si>
  <si>
    <t>iluminação</t>
  </si>
  <si>
    <t>Substituição por LED e sensores de presença</t>
  </si>
  <si>
    <t>Climatização</t>
  </si>
  <si>
    <t>Troca de aparelhos de ar-condicionado e automação</t>
  </si>
  <si>
    <t>Motores</t>
  </si>
  <si>
    <t>Substituição por motores de alto rendimento</t>
  </si>
  <si>
    <t>Refrigeração</t>
  </si>
  <si>
    <t>Substituição de equipamentos antigos</t>
  </si>
  <si>
    <t>Aquecimento de água</t>
  </si>
  <si>
    <t>Instalação de sistema solar térmico</t>
  </si>
  <si>
    <t>Fotovoltaico</t>
  </si>
  <si>
    <t>Implantação de sistema de geração distribuída</t>
  </si>
  <si>
    <t>Uso final</t>
  </si>
  <si>
    <t xml:space="preserve">Medida Proposta </t>
  </si>
  <si>
    <t xml:space="preserve">Economia (MWh/ano) </t>
  </si>
  <si>
    <t>Invest. Total (R$)</t>
  </si>
  <si>
    <t>PB (Anos)</t>
  </si>
  <si>
    <t>Iluminação</t>
  </si>
  <si>
    <t>Substituição por LED e sensores</t>
  </si>
  <si>
    <t>Troca de refrigeradores comerciais ineficientes</t>
  </si>
  <si>
    <t xml:space="preserve">Geração fotovoltaica </t>
  </si>
  <si>
    <t>Sistema conectado à rede (GD)</t>
  </si>
  <si>
    <t>Total</t>
  </si>
  <si>
    <t>Distribuição do Consumo</t>
  </si>
  <si>
    <t>(kWh)</t>
  </si>
  <si>
    <t>(%)</t>
  </si>
  <si>
    <t>Sistemas Motrizes</t>
  </si>
  <si>
    <t>Outros</t>
  </si>
  <si>
    <t>Premissas</t>
  </si>
  <si>
    <t>Custo Un. do Mwh</t>
  </si>
  <si>
    <t>Custos Operacionais</t>
  </si>
  <si>
    <t>Redução de Consmo (Automação do Sistema)</t>
  </si>
  <si>
    <t>Descrição</t>
  </si>
  <si>
    <t>Alíquotas</t>
  </si>
  <si>
    <t>Metodologia</t>
  </si>
  <si>
    <t>R$/MWh</t>
  </si>
  <si>
    <t>Mão de obra - Substituição</t>
  </si>
  <si>
    <t>Economia (%)</t>
  </si>
  <si>
    <t>IRPJ e CSSL</t>
  </si>
  <si>
    <t>Direta</t>
  </si>
  <si>
    <t>Mão de obra - Intalação completa</t>
  </si>
  <si>
    <t>Enermatch</t>
  </si>
  <si>
    <t>TMA a.a.</t>
  </si>
  <si>
    <t>Indireta</t>
  </si>
  <si>
    <t>Aquisição do Equipamento + Software (P/ Ponto)</t>
  </si>
  <si>
    <t>Mensalidade de Software (P/ Ponto)</t>
  </si>
  <si>
    <t>Sistemas de Iluminação</t>
  </si>
  <si>
    <t>Contagem de Pontos</t>
  </si>
  <si>
    <t xml:space="preserve">Mão de obra </t>
  </si>
  <si>
    <t>Faturas</t>
  </si>
  <si>
    <t>Levantamento</t>
  </si>
  <si>
    <t>Fator</t>
  </si>
  <si>
    <t>OPÇÃO RECOMENDADA — Cond. Ambiental</t>
  </si>
  <si>
    <t>Indicador</t>
  </si>
  <si>
    <t>T1 — Subst. + Automação</t>
  </si>
  <si>
    <t xml:space="preserve">T2 — Substituição </t>
  </si>
  <si>
    <t>T3 — Automação (sem troca)</t>
  </si>
  <si>
    <t>Solução escolhida:</t>
  </si>
  <si>
    <t>Investimento (R$)</t>
  </si>
  <si>
    <t>Investimento Total:</t>
  </si>
  <si>
    <t>Economia Anual (R$/ano)</t>
  </si>
  <si>
    <t>Economia Anual de Energia:</t>
  </si>
  <si>
    <t>VPL — 10 anos (R$)</t>
  </si>
  <si>
    <t>VPL (10 anos, TMA 15% a.a.):</t>
  </si>
  <si>
    <t>TIR (% a.a.)</t>
  </si>
  <si>
    <t>RBC (Razão Benefício/Custo):</t>
  </si>
  <si>
    <t>RBC (Razão Benefício/Custo)</t>
  </si>
  <si>
    <t>Payback Simples:</t>
  </si>
  <si>
    <t>Payback Simples (anos)</t>
  </si>
  <si>
    <t>Justificativa:</t>
  </si>
  <si>
    <t>Maior VPL absoluto entre as três opções avaliadas</t>
  </si>
  <si>
    <t>VPL da opção escolhida:</t>
  </si>
  <si>
    <t>Sistema de Cond. Ambiental - Combinado (Substituição + Automação)</t>
  </si>
  <si>
    <t>Sistema de Cond. Ambiental - Com mão de obra</t>
  </si>
  <si>
    <t>Sistema de Cond. Ambiental - Sistema Automatizado (sem troca)</t>
  </si>
  <si>
    <t>Ano</t>
  </si>
  <si>
    <t>Investimento :</t>
  </si>
  <si>
    <t>Redução de Custos de Energia:</t>
  </si>
  <si>
    <t>Fluxo de Caixa:</t>
  </si>
  <si>
    <t>TIR ===&gt;</t>
  </si>
  <si>
    <t>RBC ===&gt;</t>
  </si>
  <si>
    <t>VPL ===&gt;</t>
  </si>
  <si>
    <t>PBS ===&gt;</t>
  </si>
  <si>
    <t>ano</t>
  </si>
  <si>
    <t>ECONOMIA (MWh/ano) ===&gt;</t>
  </si>
  <si>
    <t>Iluminação - Sistema Automatizado (sem troca)</t>
  </si>
  <si>
    <t xml:space="preserve">Motores </t>
  </si>
  <si>
    <t>Setorização da Medição</t>
  </si>
  <si>
    <t xml:space="preserve">Sistema de Refrigeração  - Sbstituição </t>
  </si>
  <si>
    <t>Tipo_Uso</t>
  </si>
  <si>
    <t>Tipo_Equipamento</t>
  </si>
  <si>
    <t>Potência</t>
  </si>
  <si>
    <t>Preço</t>
  </si>
  <si>
    <t xml:space="preserve">Classificação Inmetro </t>
  </si>
  <si>
    <t>EER
(W/W)</t>
  </si>
  <si>
    <t>Preço (R$)</t>
  </si>
  <si>
    <t>Referência</t>
  </si>
  <si>
    <t>Capacidade (L)</t>
  </si>
  <si>
    <t>Consumo
(kWh/mês)</t>
  </si>
  <si>
    <t>FU</t>
  </si>
  <si>
    <t>Deconto da Automação</t>
  </si>
  <si>
    <t>Condicionamento Ambiental</t>
  </si>
  <si>
    <t>FTKP09S5VL</t>
  </si>
  <si>
    <t>Electrolux RE31</t>
  </si>
  <si>
    <t>FTKP12S5VL</t>
  </si>
  <si>
    <t>Midea MD-RT468MTA</t>
  </si>
  <si>
    <t>FTKP18S5VL</t>
  </si>
  <si>
    <t>Electrolux IB45 Inverter</t>
  </si>
  <si>
    <t>Fujitsu Airstage ASBA22KPCA</t>
  </si>
  <si>
    <t>Consul CHA31</t>
  </si>
  <si>
    <t>FTKP24S5VL</t>
  </si>
  <si>
    <t>Electrolux H440</t>
  </si>
  <si>
    <t>Elgin Eco Inverter II</t>
  </si>
  <si>
    <t>Electrolux HI550 Inverter</t>
  </si>
  <si>
    <t>Fujitsu Airstage Premium ABBH18KRTA/AOBH18KBTB</t>
  </si>
  <si>
    <t>Freezer Vertical</t>
  </si>
  <si>
    <t>Electrolux FEI19 Inverter</t>
  </si>
  <si>
    <t>Teto Inverter Fujitsu Airstage Premium (ABBH24KRTA/AOBH24KBTB)</t>
  </si>
  <si>
    <t>Electrolux FEI27 Inverter</t>
  </si>
  <si>
    <t>Teto Inverter Fujitsu Airstage Premium (ABBH30KRTA/AOBH30KBTB)</t>
  </si>
  <si>
    <t>Metalfrio VN44</t>
  </si>
  <si>
    <t>GULD36ZD1/A-S / GULD36W1/NHA-S</t>
  </si>
  <si>
    <t>Frigobar</t>
  </si>
  <si>
    <t>Consul CRC08</t>
  </si>
  <si>
    <t>EASMPT48000F</t>
  </si>
  <si>
    <t>Frisbel B50 Inox</t>
  </si>
  <si>
    <t>ED020N2550 / CF090W2530</t>
  </si>
  <si>
    <t xml:space="preserve"> Inverter Connect AUV-60UR2RNCAE</t>
  </si>
  <si>
    <t>Split Cassete</t>
  </si>
  <si>
    <t>Fujitsu Airstage Cassete R32 (AUBH24KRTA)</t>
  </si>
  <si>
    <t>Daikin SkyAir FCQ30KVL Inverter</t>
  </si>
  <si>
    <t>Daikin SkyAir FCQ36KVL Inverter</t>
  </si>
  <si>
    <t>Daikin SkyAir FCQ48KVL Inverter</t>
  </si>
  <si>
    <t>Daikin SkyAir Inverter (sob consulta)</t>
  </si>
  <si>
    <t>Sem Histórico Disponível</t>
  </si>
  <si>
    <t>Faturas Disponíveis</t>
  </si>
  <si>
    <t>&lt;&lt;faturasDisponiveis&gt;&gt;</t>
  </si>
  <si>
    <t>Ausência de faturas no período dos últimos 12 meses analisados</t>
  </si>
  <si>
    <t>Figuras/Grafico 1.png</t>
  </si>
  <si>
    <t>Mês / Ano 1</t>
  </si>
  <si>
    <t>Mês / Ano 2</t>
  </si>
  <si>
    <t>Mês / Ano 3</t>
  </si>
  <si>
    <t>Mês / Ano 4</t>
  </si>
  <si>
    <t>Mês / Ano 5</t>
  </si>
  <si>
    <t>Mês / Ano 6</t>
  </si>
  <si>
    <t>Mês / Ano 7</t>
  </si>
  <si>
    <t>Mês / Ano 8</t>
  </si>
  <si>
    <t>Mês / Ano 9</t>
  </si>
  <si>
    <t>Mês / Ano 10</t>
  </si>
  <si>
    <t>Mês / Ano 11</t>
  </si>
  <si>
    <t>Mês / Ano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</si>
</sst>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&quot;R$ &quot;* #,##0.00_-;&quot;-R$ &quot;* #,##0.00_-;_-&quot;R$ &quot;* \-??_-;_-@_-"/>
    <numFmt numFmtId="166" formatCode="0.0000"/>
    <numFmt numFmtId="167" formatCode="d\-mmm\-yy"/>
    <numFmt numFmtId="168" formatCode="General_)"/>
    <numFmt numFmtId="169" formatCode="#,##0.00_);[Red]\(#,##0.00\)"/>
    <numFmt numFmtId="170" formatCode="_-* #,##0.00_-;\-* #,##0.00_-;_-* \-??_-;_-@_-"/>
    <numFmt numFmtId="171" formatCode="0.0"/>
    <numFmt numFmtId="172" formatCode="#,##0.0"/>
    <numFmt numFmtId="173" formatCode="#,##0.000"/>
    <numFmt numFmtId="174" formatCode="#,##0.00000"/>
    <numFmt numFmtId="175" formatCode="0.000%"/>
    <numFmt numFmtId="176" formatCode="0.0%"/>
    <numFmt numFmtId="177" formatCode="#,##0.0000"/>
    <numFmt numFmtId="178" formatCode="&quot;R$&quot;\ #,##0.00"/>
    <numFmt numFmtId="179" formatCode="0.00&quot; anos&quot;"/>
    <numFmt numFmtId="180" formatCode="[$-416]dd\ &quot;de&quot;\ mmmm\ &quot;de&quot;\ yyyy"/>
    <numFmt numFmtId="181" formatCode="_(* #,##0.00_);_(* \(#,##0.00\);_(* \-??_);_(@_)"/>
  </numFmts>
  <fonts count="60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</font>
    <font>
      <b/>
      <sz val="14"/>
      <color rgb="FFFFFFFF"/>
      <name val="Times New Roman"/>
      <family val="1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family val="2"/>
      <charset val="1"/>
    </font>
    <font>
      <b/>
      <sz val="12"/>
      <name val="Verdana"/>
      <family val="2"/>
      <charset val="1"/>
    </font>
    <font>
      <i/>
      <sz val="12"/>
      <name val="Verdana"/>
      <family val="2"/>
      <charset val="1"/>
    </font>
    <font>
      <sz val="12"/>
      <name val="Verdana"/>
      <family val="2"/>
      <charset val="1"/>
    </font>
    <font>
      <sz val="11"/>
      <name val="Verdana"/>
      <family val="2"/>
      <charset val="1"/>
    </font>
    <font>
      <b/>
      <i/>
      <sz val="12"/>
      <name val="Verdana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20576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2"/>
      <color theme="1"/>
      <name val="Aptos Narrow"/>
      <family val="2"/>
    </font>
    <font>
      <b/>
      <sz val="14"/>
      <color theme="0"/>
      <name val="Times New Roman"/>
      <family val="1"/>
    </font>
    <font>
      <b/>
      <sz val="14"/>
      <color theme="0"/>
      <name val="Times New Roman"/>
      <family val="1"/>
      <charset val="1"/>
    </font>
    <font>
      <sz val="11"/>
      <color theme="0"/>
      <name val="Aptos Narrow"/>
      <family val="2"/>
      <charset val="1"/>
    </font>
    <font>
      <b/>
      <sz val="14"/>
      <color theme="1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Times New Roman"/>
      <family val="1"/>
      <charset val="1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</fonts>
  <fills count="50">
    <fill>
      <patternFill patternType="none"/>
    </fill>
    <fill>
      <patternFill patternType="gray125"/>
    </fill>
    <fill>
      <patternFill patternType="solid">
        <fgColor rgb="FF215C98"/>
        <bgColor rgb="FF156082"/>
      </patternFill>
    </fill>
    <fill>
      <patternFill patternType="solid">
        <fgColor rgb="FFCCFFCC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4" tint="0.39988402966399123"/>
        <bgColor rgb="FF4E95D9"/>
      </patternFill>
    </fill>
    <fill>
      <patternFill patternType="solid">
        <fgColor theme="9" tint="0.59987182226020086"/>
        <bgColor rgb="FFD9F2D0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9" tint="0.79989013336588644"/>
        <bgColor rgb="FFCCFFC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B4E5A2"/>
      </patternFill>
    </fill>
    <fill>
      <patternFill patternType="solid">
        <fgColor theme="3" tint="0.49989318521683401"/>
        <bgColor rgb="FF46B1E1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1E5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0061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E59ED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rgb="FF15608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E59ED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0">
    <xf numFmtId="0" fontId="0" fillId="0" borderId="0"/>
    <xf numFmtId="0" fontId="4" fillId="0" borderId="0"/>
    <xf numFmtId="0" fontId="21" fillId="0" borderId="0"/>
    <xf numFmtId="9" fontId="22" fillId="0" borderId="0"/>
    <xf numFmtId="0" fontId="3" fillId="0" borderId="0"/>
    <xf numFmtId="44" fontId="22" fillId="0" borderId="0"/>
    <xf numFmtId="0" fontId="40" fillId="0" borderId="0"/>
    <xf numFmtId="43" fontId="40" fillId="0" borderId="0" applyFont="0" applyFill="0" applyBorder="0" applyAlignment="0" applyProtection="0"/>
    <xf numFmtId="0" fontId="42" fillId="0" borderId="0"/>
    <xf numFmtId="0" fontId="43" fillId="43" borderId="79" applyProtection="0"/>
    <xf numFmtId="0" fontId="44" fillId="44" borderId="79" applyProtection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45" borderId="80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0" fontId="46" fillId="43" borderId="81" applyProtection="0"/>
    <xf numFmtId="170" fontId="42" fillId="0" borderId="0" applyBorder="0" applyProtection="0"/>
    <xf numFmtId="0" fontId="47" fillId="0" borderId="0" applyBorder="0" applyProtection="0"/>
    <xf numFmtId="0" fontId="48" fillId="0" borderId="0" applyBorder="0" applyProtection="0"/>
    <xf numFmtId="0" fontId="49" fillId="0" borderId="82" applyProtection="0"/>
    <xf numFmtId="0" fontId="50" fillId="0" borderId="0" applyBorder="0" applyProtection="0"/>
    <xf numFmtId="181" fontId="42" fillId="0" borderId="0" applyBorder="0" applyProtection="0"/>
    <xf numFmtId="181" fontId="42" fillId="0" borderId="0" applyBorder="0" applyProtection="0"/>
    <xf numFmtId="170" fontId="42" fillId="0" borderId="0" applyBorder="0" applyProtection="0"/>
    <xf numFmtId="0" fontId="41" fillId="0" borderId="0"/>
    <xf numFmtId="0" fontId="5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1" fillId="0" borderId="0"/>
    <xf numFmtId="43" fontId="4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66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2" borderId="8" xfId="0" applyFont="1" applyFill="1" applyBorder="1"/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10" fillId="0" borderId="0" xfId="0" applyFont="1"/>
    <xf numFmtId="0" fontId="10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8" fillId="0" borderId="6" xfId="0" applyFont="1" applyBorder="1" applyAlignment="1">
      <alignment wrapText="1"/>
    </xf>
    <xf numFmtId="0" fontId="8" fillId="0" borderId="6" xfId="0" applyFont="1" applyBorder="1"/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65" fontId="13" fillId="4" borderId="6" xfId="0" applyNumberFormat="1" applyFont="1" applyFill="1" applyBorder="1" applyAlignment="1">
      <alignment vertical="center"/>
    </xf>
    <xf numFmtId="10" fontId="13" fillId="4" borderId="6" xfId="0" applyNumberFormat="1" applyFont="1" applyFill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9" fontId="13" fillId="4" borderId="6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7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13" fillId="0" borderId="14" xfId="0" applyNumberFormat="1" applyFont="1" applyBorder="1" applyAlignment="1">
      <alignment horizontal="left" vertical="center"/>
    </xf>
    <xf numFmtId="169" fontId="13" fillId="0" borderId="14" xfId="0" applyNumberFormat="1" applyFont="1" applyBorder="1" applyAlignment="1">
      <alignment vertical="center"/>
    </xf>
    <xf numFmtId="168" fontId="13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8" fontId="13" fillId="0" borderId="13" xfId="0" applyNumberFormat="1" applyFont="1" applyBorder="1" applyAlignment="1">
      <alignment horizontal="left" vertical="center"/>
    </xf>
    <xf numFmtId="169" fontId="13" fillId="0" borderId="13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10" fontId="15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9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1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49" fontId="16" fillId="8" borderId="19" xfId="0" applyNumberFormat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72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vertical="center"/>
    </xf>
    <xf numFmtId="0" fontId="16" fillId="14" borderId="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17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172" fontId="0" fillId="0" borderId="6" xfId="0" applyNumberFormat="1" applyBorder="1" applyAlignment="1">
      <alignment horizontal="center" vertical="center"/>
    </xf>
    <xf numFmtId="0" fontId="16" fillId="8" borderId="4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 wrapText="1"/>
    </xf>
    <xf numFmtId="0" fontId="16" fillId="9" borderId="21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4" fontId="0" fillId="0" borderId="43" xfId="0" applyNumberFormat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 wrapText="1"/>
    </xf>
    <xf numFmtId="174" fontId="16" fillId="10" borderId="40" xfId="0" applyNumberFormat="1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41" xfId="0" applyFont="1" applyFill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/>
    </xf>
    <xf numFmtId="4" fontId="0" fillId="0" borderId="45" xfId="0" applyNumberFormat="1" applyBorder="1" applyAlignment="1">
      <alignment horizontal="center" vertical="center"/>
    </xf>
    <xf numFmtId="172" fontId="0" fillId="0" borderId="46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4" fontId="0" fillId="0" borderId="25" xfId="0" applyNumberFormat="1" applyBorder="1" applyAlignment="1">
      <alignment horizontal="center" vertical="center"/>
    </xf>
    <xf numFmtId="174" fontId="0" fillId="0" borderId="44" xfId="0" applyNumberFormat="1" applyBorder="1" applyAlignment="1">
      <alignment horizontal="center" vertical="center"/>
    </xf>
    <xf numFmtId="174" fontId="0" fillId="0" borderId="26" xfId="0" applyNumberFormat="1" applyBorder="1" applyAlignment="1">
      <alignment horizontal="center" vertical="center"/>
    </xf>
    <xf numFmtId="174" fontId="0" fillId="0" borderId="24" xfId="0" applyNumberFormat="1" applyBorder="1" applyAlignment="1">
      <alignment horizontal="center" vertical="center"/>
    </xf>
    <xf numFmtId="174" fontId="0" fillId="0" borderId="47" xfId="0" applyNumberFormat="1" applyBorder="1" applyAlignment="1">
      <alignment horizontal="center" vertical="center"/>
    </xf>
    <xf numFmtId="0" fontId="20" fillId="5" borderId="6" xfId="0" applyFont="1" applyFill="1" applyBorder="1"/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horizontal="left"/>
    </xf>
    <xf numFmtId="0" fontId="0" fillId="16" borderId="0" xfId="0" applyFill="1"/>
    <xf numFmtId="4" fontId="0" fillId="17" borderId="6" xfId="0" applyNumberFormat="1" applyFill="1" applyBorder="1" applyAlignment="1">
      <alignment horizontal="center" vertical="center"/>
    </xf>
    <xf numFmtId="4" fontId="0" fillId="18" borderId="6" xfId="0" applyNumberFormat="1" applyFill="1" applyBorder="1" applyAlignment="1">
      <alignment horizontal="center" vertical="center"/>
    </xf>
    <xf numFmtId="3" fontId="0" fillId="18" borderId="6" xfId="0" applyNumberFormat="1" applyFill="1" applyBorder="1" applyAlignment="1">
      <alignment horizontal="center" vertical="center"/>
    </xf>
    <xf numFmtId="173" fontId="0" fillId="18" borderId="6" xfId="0" applyNumberFormat="1" applyFill="1" applyBorder="1" applyAlignment="1">
      <alignment horizontal="center" vertical="center"/>
    </xf>
    <xf numFmtId="173" fontId="0" fillId="19" borderId="6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vertical="center"/>
    </xf>
    <xf numFmtId="4" fontId="24" fillId="19" borderId="6" xfId="0" applyNumberFormat="1" applyFont="1" applyFill="1" applyBorder="1" applyAlignment="1">
      <alignment horizontal="center" vertical="center"/>
    </xf>
    <xf numFmtId="4" fontId="0" fillId="0" borderId="23" xfId="0" applyNumberFormat="1" applyBorder="1" applyAlignment="1">
      <alignment horizontal="left" vertical="center" wrapText="1"/>
    </xf>
    <xf numFmtId="9" fontId="0" fillId="0" borderId="25" xfId="3" applyFont="1" applyBorder="1" applyAlignment="1">
      <alignment horizontal="center" vertical="center"/>
    </xf>
    <xf numFmtId="173" fontId="0" fillId="17" borderId="25" xfId="0" applyNumberFormat="1" applyFill="1" applyBorder="1" applyAlignment="1">
      <alignment horizontal="center" vertical="center"/>
    </xf>
    <xf numFmtId="3" fontId="0" fillId="17" borderId="25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4" fontId="0" fillId="18" borderId="25" xfId="0" applyNumberFormat="1" applyFill="1" applyBorder="1" applyAlignment="1">
      <alignment horizontal="center" vertical="center"/>
    </xf>
    <xf numFmtId="3" fontId="0" fillId="18" borderId="25" xfId="0" applyNumberFormat="1" applyFill="1" applyBorder="1" applyAlignment="1">
      <alignment horizontal="center" vertical="center"/>
    </xf>
    <xf numFmtId="4" fontId="0" fillId="19" borderId="27" xfId="0" applyNumberFormat="1" applyFill="1" applyBorder="1" applyAlignment="1">
      <alignment horizontal="center" vertical="center"/>
    </xf>
    <xf numFmtId="4" fontId="0" fillId="19" borderId="28" xfId="0" applyNumberFormat="1" applyFill="1" applyBorder="1" applyAlignment="1">
      <alignment horizontal="center" vertical="center"/>
    </xf>
    <xf numFmtId="10" fontId="0" fillId="0" borderId="25" xfId="3" applyNumberFormat="1" applyFont="1" applyBorder="1" applyAlignment="1">
      <alignment horizontal="center" vertical="center"/>
    </xf>
    <xf numFmtId="10" fontId="23" fillId="0" borderId="25" xfId="3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" fontId="0" fillId="0" borderId="49" xfId="0" applyNumberFormat="1" applyBorder="1" applyAlignment="1">
      <alignment horizontal="left" vertical="center" wrapText="1"/>
    </xf>
    <xf numFmtId="4" fontId="0" fillId="0" borderId="49" xfId="0" applyNumberFormat="1" applyBorder="1" applyAlignment="1">
      <alignment horizontal="center" vertical="center"/>
    </xf>
    <xf numFmtId="9" fontId="0" fillId="0" borderId="50" xfId="3" applyFont="1" applyBorder="1" applyAlignment="1">
      <alignment horizontal="center" vertical="center"/>
    </xf>
    <xf numFmtId="10" fontId="0" fillId="0" borderId="50" xfId="3" applyNumberFormat="1" applyFont="1" applyBorder="1" applyAlignment="1">
      <alignment horizontal="center" vertical="center"/>
    </xf>
    <xf numFmtId="4" fontId="0" fillId="0" borderId="50" xfId="0" applyNumberFormat="1" applyBorder="1" applyAlignment="1">
      <alignment horizontal="center" vertical="center"/>
    </xf>
    <xf numFmtId="173" fontId="0" fillId="17" borderId="50" xfId="0" applyNumberFormat="1" applyFill="1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17" borderId="50" xfId="0" applyNumberFormat="1" applyFill="1" applyBorder="1" applyAlignment="1">
      <alignment horizontal="center" vertical="center"/>
    </xf>
    <xf numFmtId="4" fontId="0" fillId="17" borderId="50" xfId="0" applyNumberFormat="1" applyFill="1" applyBorder="1" applyAlignment="1">
      <alignment horizontal="center" vertical="center"/>
    </xf>
    <xf numFmtId="4" fontId="0" fillId="18" borderId="50" xfId="0" applyNumberFormat="1" applyFill="1" applyBorder="1" applyAlignment="1">
      <alignment horizontal="center" vertical="center"/>
    </xf>
    <xf numFmtId="4" fontId="0" fillId="19" borderId="48" xfId="0" applyNumberFormat="1" applyFill="1" applyBorder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49" fontId="0" fillId="19" borderId="6" xfId="0" applyNumberFormat="1" applyFill="1" applyBorder="1" applyAlignment="1">
      <alignment vertical="center"/>
    </xf>
    <xf numFmtId="0" fontId="24" fillId="19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0" fillId="0" borderId="3" xfId="0" applyBorder="1"/>
    <xf numFmtId="0" fontId="8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8" fillId="0" borderId="9" xfId="0" applyFont="1" applyBorder="1" applyAlignment="1">
      <alignment horizontal="center" vertical="center"/>
    </xf>
    <xf numFmtId="0" fontId="0" fillId="0" borderId="7" xfId="0" applyBorder="1"/>
    <xf numFmtId="0" fontId="0" fillId="0" borderId="54" xfId="0" applyBorder="1"/>
    <xf numFmtId="0" fontId="0" fillId="0" borderId="55" xfId="0" applyBorder="1"/>
    <xf numFmtId="49" fontId="24" fillId="19" borderId="22" xfId="0" quotePrefix="1" applyNumberFormat="1" applyFont="1" applyFill="1" applyBorder="1" applyAlignment="1">
      <alignment horizontal="center" vertical="center"/>
    </xf>
    <xf numFmtId="0" fontId="24" fillId="19" borderId="22" xfId="0" applyFont="1" applyFill="1" applyBorder="1" applyAlignment="1">
      <alignment horizontal="center" vertical="center"/>
    </xf>
    <xf numFmtId="4" fontId="24" fillId="19" borderId="2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49" fontId="0" fillId="19" borderId="27" xfId="0" applyNumberFormat="1" applyFill="1" applyBorder="1" applyAlignment="1">
      <alignment horizontal="center" vertical="center"/>
    </xf>
    <xf numFmtId="49" fontId="0" fillId="19" borderId="28" xfId="0" applyNumberFormat="1" applyFill="1" applyBorder="1" applyAlignment="1">
      <alignment horizontal="center" vertical="center"/>
    </xf>
    <xf numFmtId="49" fontId="0" fillId="19" borderId="22" xfId="0" applyNumberForma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 vertical="center"/>
    </xf>
    <xf numFmtId="4" fontId="0" fillId="19" borderId="25" xfId="0" applyNumberFormat="1" applyFill="1" applyBorder="1" applyAlignment="1">
      <alignment horizontal="center" vertical="center"/>
    </xf>
    <xf numFmtId="4" fontId="24" fillId="19" borderId="25" xfId="0" applyNumberFormat="1" applyFont="1" applyFill="1" applyBorder="1" applyAlignment="1">
      <alignment horizontal="center" vertical="center"/>
    </xf>
    <xf numFmtId="4" fontId="0" fillId="0" borderId="0" xfId="0" applyNumberFormat="1"/>
    <xf numFmtId="177" fontId="0" fillId="0" borderId="0" xfId="0" applyNumberFormat="1"/>
    <xf numFmtId="0" fontId="26" fillId="22" borderId="15" xfId="0" applyFont="1" applyFill="1" applyBorder="1" applyAlignment="1">
      <alignment horizontal="center" vertical="center" wrapText="1"/>
    </xf>
    <xf numFmtId="0" fontId="26" fillId="22" borderId="0" xfId="0" applyFont="1" applyFill="1" applyAlignment="1">
      <alignment horizontal="center" vertical="center" wrapText="1"/>
    </xf>
    <xf numFmtId="0" fontId="29" fillId="24" borderId="4" xfId="4" applyFont="1" applyFill="1" applyBorder="1" applyAlignment="1">
      <alignment horizontal="left" vertical="center" wrapText="1" indent="1"/>
    </xf>
    <xf numFmtId="0" fontId="29" fillId="24" borderId="5" xfId="4" applyFont="1" applyFill="1" applyBorder="1" applyAlignment="1">
      <alignment horizontal="center" vertical="center" wrapText="1"/>
    </xf>
    <xf numFmtId="0" fontId="29" fillId="24" borderId="52" xfId="4" applyFont="1" applyFill="1" applyBorder="1" applyAlignment="1">
      <alignment horizontal="left" vertical="center" wrapText="1" indent="1"/>
    </xf>
    <xf numFmtId="8" fontId="29" fillId="24" borderId="53" xfId="4" applyNumberFormat="1" applyFont="1" applyFill="1" applyBorder="1" applyAlignment="1">
      <alignment horizontal="center" vertical="center" wrapText="1"/>
    </xf>
    <xf numFmtId="0" fontId="29" fillId="24" borderId="58" xfId="4" applyFont="1" applyFill="1" applyBorder="1" applyAlignment="1">
      <alignment horizontal="left" vertical="center" wrapText="1" indent="1"/>
    </xf>
    <xf numFmtId="0" fontId="29" fillId="24" borderId="59" xfId="4" applyFont="1" applyFill="1" applyBorder="1" applyAlignment="1">
      <alignment horizontal="center" vertical="center" wrapText="1"/>
    </xf>
    <xf numFmtId="10" fontId="29" fillId="24" borderId="5" xfId="4" applyNumberFormat="1" applyFont="1" applyFill="1" applyBorder="1" applyAlignment="1">
      <alignment horizontal="center" vertical="center" wrapText="1"/>
    </xf>
    <xf numFmtId="8" fontId="29" fillId="24" borderId="5" xfId="4" applyNumberFormat="1" applyFont="1" applyFill="1" applyBorder="1" applyAlignment="1">
      <alignment horizontal="center" vertical="center" wrapText="1"/>
    </xf>
    <xf numFmtId="0" fontId="29" fillId="24" borderId="8" xfId="4" applyFont="1" applyFill="1" applyBorder="1" applyAlignment="1">
      <alignment horizontal="left" vertical="center" wrapText="1" indent="1"/>
    </xf>
    <xf numFmtId="8" fontId="29" fillId="24" borderId="7" xfId="4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4" applyFont="1"/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2" fillId="27" borderId="6" xfId="0" applyFont="1" applyFill="1" applyBorder="1" applyAlignment="1">
      <alignment horizontal="left" vertical="center" wrapText="1" indent="1"/>
    </xf>
    <xf numFmtId="169" fontId="15" fillId="0" borderId="6" xfId="0" applyNumberFormat="1" applyFont="1" applyBorder="1" applyAlignment="1">
      <alignment horizontal="right" vertical="center"/>
    </xf>
    <xf numFmtId="169" fontId="14" fillId="0" borderId="6" xfId="0" applyNumberFormat="1" applyFont="1" applyBorder="1" applyAlignment="1">
      <alignment vertical="center"/>
    </xf>
    <xf numFmtId="169" fontId="13" fillId="0" borderId="6" xfId="0" applyNumberFormat="1" applyFont="1" applyBorder="1" applyAlignment="1">
      <alignment vertical="center"/>
    </xf>
    <xf numFmtId="10" fontId="13" fillId="0" borderId="6" xfId="0" applyNumberFormat="1" applyFont="1" applyBorder="1" applyAlignment="1">
      <alignment vertical="center"/>
    </xf>
    <xf numFmtId="10" fontId="15" fillId="0" borderId="6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vertical="center"/>
    </xf>
    <xf numFmtId="2" fontId="15" fillId="0" borderId="6" xfId="0" applyNumberFormat="1" applyFont="1" applyBorder="1" applyAlignment="1">
      <alignment horizontal="right" vertical="center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left" vertical="center" wrapText="1" indent="1"/>
    </xf>
    <xf numFmtId="8" fontId="29" fillId="0" borderId="0" xfId="4" applyNumberFormat="1" applyFont="1" applyAlignment="1">
      <alignment horizontal="center" vertical="center" wrapText="1"/>
    </xf>
    <xf numFmtId="10" fontId="29" fillId="0" borderId="0" xfId="4" applyNumberFormat="1" applyFont="1" applyAlignment="1">
      <alignment horizontal="center" vertical="center" wrapText="1"/>
    </xf>
    <xf numFmtId="4" fontId="29" fillId="24" borderId="5" xfId="4" applyNumberFormat="1" applyFont="1" applyFill="1" applyBorder="1" applyAlignment="1">
      <alignment horizontal="center" vertical="center" wrapText="1"/>
    </xf>
    <xf numFmtId="4" fontId="29" fillId="24" borderId="59" xfId="4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3" fillId="0" borderId="0" xfId="0" applyNumberFormat="1" applyFont="1" applyAlignment="1">
      <alignment vertical="center"/>
    </xf>
    <xf numFmtId="178" fontId="29" fillId="24" borderId="7" xfId="5" applyNumberFormat="1" applyFont="1" applyFill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168" fontId="13" fillId="28" borderId="0" xfId="0" applyNumberFormat="1" applyFont="1" applyFill="1" applyAlignment="1">
      <alignment horizontal="left" vertical="center"/>
    </xf>
    <xf numFmtId="178" fontId="13" fillId="4" borderId="6" xfId="0" applyNumberFormat="1" applyFont="1" applyFill="1" applyBorder="1" applyAlignment="1">
      <alignment vertical="center"/>
    </xf>
    <xf numFmtId="4" fontId="13" fillId="4" borderId="6" xfId="0" applyNumberFormat="1" applyFont="1" applyFill="1" applyBorder="1" applyAlignment="1">
      <alignment vertical="center"/>
    </xf>
    <xf numFmtId="0" fontId="34" fillId="0" borderId="0" xfId="0" applyFont="1"/>
    <xf numFmtId="0" fontId="0" fillId="30" borderId="0" xfId="0" applyFill="1"/>
    <xf numFmtId="0" fontId="0" fillId="30" borderId="0" xfId="0" applyFill="1" applyAlignment="1">
      <alignment horizontal="lef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35" fillId="36" borderId="67" xfId="0" applyFont="1" applyFill="1" applyBorder="1"/>
    <xf numFmtId="0" fontId="10" fillId="37" borderId="7" xfId="0" applyFont="1" applyFill="1" applyBorder="1" applyAlignment="1">
      <alignment horizontal="left"/>
    </xf>
    <xf numFmtId="0" fontId="0" fillId="33" borderId="0" xfId="0" applyFill="1" applyAlignment="1">
      <alignment horizontal="left" vertical="center"/>
    </xf>
    <xf numFmtId="180" fontId="0" fillId="33" borderId="0" xfId="0" applyNumberFormat="1" applyFill="1" applyAlignment="1">
      <alignment horizontal="left" vertical="center"/>
    </xf>
    <xf numFmtId="14" fontId="0" fillId="33" borderId="0" xfId="0" applyNumberForma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4" fontId="0" fillId="33" borderId="0" xfId="0" applyNumberFormat="1" applyFill="1" applyAlignment="1">
      <alignment horizontal="left" vertical="center"/>
    </xf>
    <xf numFmtId="2" fontId="0" fillId="33" borderId="0" xfId="0" applyNumberFormat="1" applyFill="1" applyAlignment="1">
      <alignment horizontal="left" vertical="center"/>
    </xf>
    <xf numFmtId="0" fontId="0" fillId="40" borderId="0" xfId="0" applyFill="1"/>
    <xf numFmtId="0" fontId="0" fillId="22" borderId="71" xfId="0" applyFill="1" applyBorder="1"/>
    <xf numFmtId="0" fontId="0" fillId="22" borderId="72" xfId="0" applyFill="1" applyBorder="1" applyAlignment="1">
      <alignment horizontal="left"/>
    </xf>
    <xf numFmtId="0" fontId="19" fillId="0" borderId="72" xfId="0" applyFont="1" applyBorder="1"/>
    <xf numFmtId="4" fontId="0" fillId="33" borderId="73" xfId="0" applyNumberFormat="1" applyFill="1" applyBorder="1" applyAlignment="1">
      <alignment horizontal="left" vertical="center"/>
    </xf>
    <xf numFmtId="0" fontId="0" fillId="22" borderId="74" xfId="0" applyFill="1" applyBorder="1"/>
    <xf numFmtId="4" fontId="0" fillId="33" borderId="75" xfId="0" applyNumberFormat="1" applyFill="1" applyBorder="1" applyAlignment="1">
      <alignment horizontal="left" vertical="center"/>
    </xf>
    <xf numFmtId="3" fontId="0" fillId="33" borderId="75" xfId="0" applyNumberFormat="1" applyFill="1" applyBorder="1" applyAlignment="1">
      <alignment horizontal="left" vertical="center"/>
    </xf>
    <xf numFmtId="0" fontId="19" fillId="0" borderId="77" xfId="0" applyFont="1" applyBorder="1"/>
    <xf numFmtId="0" fontId="0" fillId="33" borderId="78" xfId="0" applyFill="1" applyBorder="1" applyAlignment="1">
      <alignment horizontal="left" vertical="center"/>
    </xf>
    <xf numFmtId="0" fontId="0" fillId="0" borderId="77" xfId="0" applyBorder="1" applyAlignment="1">
      <alignment horizontal="left"/>
    </xf>
    <xf numFmtId="0" fontId="0" fillId="41" borderId="0" xfId="0" applyFill="1"/>
    <xf numFmtId="0" fontId="0" fillId="42" borderId="0" xfId="0" applyFill="1"/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67" xfId="0" applyBorder="1" applyAlignment="1">
      <alignment horizontal="left"/>
    </xf>
    <xf numFmtId="0" fontId="52" fillId="0" borderId="2" xfId="0" applyFont="1" applyBorder="1"/>
    <xf numFmtId="14" fontId="53" fillId="0" borderId="7" xfId="2" applyNumberFormat="1" applyFont="1" applyBorder="1" applyAlignment="1">
      <alignment horizontal="left"/>
    </xf>
    <xf numFmtId="0" fontId="52" fillId="0" borderId="5" xfId="0" applyFont="1" applyBorder="1"/>
    <xf numFmtId="0" fontId="16" fillId="8" borderId="33" xfId="0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0" fillId="28" borderId="0" xfId="0" applyFill="1"/>
    <xf numFmtId="0" fontId="0" fillId="46" borderId="0" xfId="0" applyFill="1"/>
    <xf numFmtId="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47" borderId="0" xfId="0" applyFill="1"/>
    <xf numFmtId="3" fontId="0" fillId="17" borderId="6" xfId="0" applyNumberFormat="1" applyFill="1" applyBorder="1" applyAlignment="1">
      <alignment horizontal="center" vertical="center"/>
    </xf>
    <xf numFmtId="0" fontId="16" fillId="8" borderId="83" xfId="0" applyFont="1" applyFill="1" applyBorder="1" applyAlignment="1">
      <alignment horizontal="center" vertical="center" wrapText="1"/>
    </xf>
    <xf numFmtId="49" fontId="16" fillId="8" borderId="34" xfId="0" applyNumberFormat="1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 wrapText="1"/>
    </xf>
    <xf numFmtId="174" fontId="16" fillId="9" borderId="83" xfId="0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left"/>
    </xf>
    <xf numFmtId="0" fontId="36" fillId="38" borderId="1" xfId="0" applyFont="1" applyFill="1" applyBorder="1" applyAlignment="1">
      <alignment vertical="center"/>
    </xf>
    <xf numFmtId="0" fontId="36" fillId="38" borderId="3" xfId="0" applyFont="1" applyFill="1" applyBorder="1" applyAlignment="1">
      <alignment vertical="center"/>
    </xf>
    <xf numFmtId="0" fontId="36" fillId="38" borderId="2" xfId="0" applyFont="1" applyFill="1" applyBorder="1" applyAlignment="1">
      <alignment horizontal="center" vertical="center"/>
    </xf>
    <xf numFmtId="0" fontId="54" fillId="36" borderId="4" xfId="0" applyFont="1" applyFill="1" applyBorder="1" applyAlignment="1">
      <alignment horizontal="left" vertical="center"/>
    </xf>
    <xf numFmtId="0" fontId="36" fillId="38" borderId="3" xfId="0" applyFont="1" applyFill="1" applyBorder="1" applyAlignment="1">
      <alignment vertical="center" wrapText="1"/>
    </xf>
    <xf numFmtId="0" fontId="54" fillId="36" borderId="4" xfId="0" applyFont="1" applyFill="1" applyBorder="1" applyAlignment="1">
      <alignment vertical="center"/>
    </xf>
    <xf numFmtId="4" fontId="0" fillId="49" borderId="25" xfId="0" applyNumberFormat="1" applyFill="1" applyBorder="1" applyAlignment="1">
      <alignment horizontal="center" vertical="center"/>
    </xf>
    <xf numFmtId="0" fontId="16" fillId="11" borderId="33" xfId="0" applyFont="1" applyFill="1" applyBorder="1" applyAlignment="1">
      <alignment horizontal="center" vertical="center" wrapText="1"/>
    </xf>
    <xf numFmtId="0" fontId="16" fillId="10" borderId="36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16" fillId="11" borderId="35" xfId="0" applyFont="1" applyFill="1" applyBorder="1" applyAlignment="1">
      <alignment horizontal="center" vertical="center" wrapText="1"/>
    </xf>
    <xf numFmtId="0" fontId="52" fillId="48" borderId="0" xfId="0" applyFont="1" applyFill="1"/>
    <xf numFmtId="0" fontId="52" fillId="48" borderId="5" xfId="0" applyFont="1" applyFill="1" applyBorder="1"/>
    <xf numFmtId="14" fontId="52" fillId="48" borderId="7" xfId="0" applyNumberFormat="1" applyFont="1" applyFill="1" applyBorder="1" applyAlignment="1">
      <alignment horizontal="left"/>
    </xf>
    <xf numFmtId="0" fontId="52" fillId="0" borderId="84" xfId="0" applyFont="1" applyBorder="1"/>
    <xf numFmtId="0" fontId="56" fillId="0" borderId="6" xfId="6" applyFont="1" applyBorder="1"/>
    <xf numFmtId="0" fontId="0" fillId="19" borderId="11" xfId="0" applyFill="1" applyBorder="1" applyAlignment="1">
      <alignment vertical="center"/>
    </xf>
    <xf numFmtId="4" fontId="0" fillId="19" borderId="11" xfId="0" applyNumberFormat="1" applyFill="1" applyBorder="1" applyAlignment="1">
      <alignment vertical="center"/>
    </xf>
    <xf numFmtId="3" fontId="24" fillId="19" borderId="11" xfId="0" applyNumberFormat="1" applyFont="1" applyFill="1" applyBorder="1" applyAlignment="1">
      <alignment horizontal="center" vertical="center"/>
    </xf>
    <xf numFmtId="4" fontId="24" fillId="19" borderId="11" xfId="0" applyNumberFormat="1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horizontal="center" vertical="center" wrapText="1"/>
    </xf>
    <xf numFmtId="0" fontId="16" fillId="10" borderId="83" xfId="0" applyFont="1" applyFill="1" applyBorder="1" applyAlignment="1">
      <alignment horizontal="center" vertical="center" wrapText="1"/>
    </xf>
    <xf numFmtId="0" fontId="16" fillId="10" borderId="35" xfId="0" applyFont="1" applyFill="1" applyBorder="1" applyAlignment="1">
      <alignment horizontal="center" vertical="center" wrapText="1"/>
    </xf>
    <xf numFmtId="0" fontId="39" fillId="0" borderId="6" xfId="0" applyFont="1" applyBorder="1"/>
    <xf numFmtId="0" fontId="39" fillId="0" borderId="6" xfId="0" applyFont="1" applyBorder="1" applyAlignment="1">
      <alignment horizontal="right"/>
    </xf>
    <xf numFmtId="0" fontId="39" fillId="0" borderId="6" xfId="0" applyFont="1" applyBorder="1" applyAlignment="1">
      <alignment horizontal="center"/>
    </xf>
    <xf numFmtId="0" fontId="0" fillId="0" borderId="6" xfId="0" applyBorder="1" applyAlignment="1">
      <alignment vertical="center"/>
    </xf>
    <xf numFmtId="173" fontId="24" fillId="19" borderId="11" xfId="0" applyNumberFormat="1" applyFont="1" applyFill="1" applyBorder="1" applyAlignment="1">
      <alignment horizontal="center" vertical="center"/>
    </xf>
    <xf numFmtId="175" fontId="24" fillId="19" borderId="11" xfId="3" applyNumberFormat="1" applyFont="1" applyFill="1" applyBorder="1" applyAlignment="1">
      <alignment horizontal="center" vertical="center"/>
    </xf>
    <xf numFmtId="0" fontId="55" fillId="0" borderId="0" xfId="0" applyFont="1"/>
    <xf numFmtId="0" fontId="55" fillId="0" borderId="0" xfId="0" quotePrefix="1" applyFont="1"/>
    <xf numFmtId="14" fontId="55" fillId="0" borderId="0" xfId="0" applyNumberFormat="1" applyFont="1"/>
    <xf numFmtId="10" fontId="55" fillId="0" borderId="0" xfId="0" applyNumberFormat="1" applyFont="1"/>
    <xf numFmtId="8" fontId="55" fillId="0" borderId="0" xfId="0" applyNumberFormat="1" applyFont="1"/>
    <xf numFmtId="11" fontId="55" fillId="0" borderId="0" xfId="0" applyNumberFormat="1" applyFont="1"/>
    <xf numFmtId="10" fontId="1" fillId="19" borderId="22" xfId="3" applyNumberFormat="1" applyFont="1" applyFill="1" applyBorder="1" applyAlignment="1">
      <alignment horizontal="center" vertical="center"/>
    </xf>
    <xf numFmtId="10" fontId="1" fillId="19" borderId="6" xfId="3" applyNumberFormat="1" applyFont="1" applyFill="1" applyBorder="1" applyAlignment="1">
      <alignment horizontal="center" vertical="center"/>
    </xf>
    <xf numFmtId="10" fontId="1" fillId="0" borderId="25" xfId="3" applyNumberFormat="1" applyFont="1" applyBorder="1" applyAlignment="1">
      <alignment horizontal="center" vertical="center"/>
    </xf>
    <xf numFmtId="176" fontId="1" fillId="0" borderId="25" xfId="3" applyNumberFormat="1" applyFont="1" applyBorder="1" applyAlignment="1">
      <alignment horizontal="center" vertical="center"/>
    </xf>
    <xf numFmtId="176" fontId="1" fillId="0" borderId="50" xfId="3" applyNumberFormat="1" applyFont="1" applyBorder="1" applyAlignment="1">
      <alignment horizontal="center" vertical="center"/>
    </xf>
    <xf numFmtId="10" fontId="1" fillId="19" borderId="51" xfId="3" applyNumberFormat="1" applyFont="1" applyFill="1" applyBorder="1" applyAlignment="1">
      <alignment horizontal="center" vertical="center"/>
    </xf>
    <xf numFmtId="0" fontId="1" fillId="0" borderId="0" xfId="4" applyFont="1"/>
    <xf numFmtId="0" fontId="0" fillId="0" borderId="85" xfId="0" applyBorder="1" applyAlignment="1">
      <alignment horizontal="center" vertical="center"/>
    </xf>
    <xf numFmtId="0" fontId="39" fillId="0" borderId="85" xfId="0" applyFont="1" applyBorder="1"/>
    <xf numFmtId="0" fontId="39" fillId="0" borderId="85" xfId="0" applyFont="1" applyBorder="1" applyAlignment="1">
      <alignment horizontal="left"/>
    </xf>
    <xf numFmtId="4" fontId="0" fillId="0" borderId="85" xfId="0" applyNumberFormat="1" applyBorder="1" applyAlignment="1">
      <alignment horizontal="center" vertical="center"/>
    </xf>
    <xf numFmtId="4" fontId="0" fillId="17" borderId="85" xfId="0" applyNumberFormat="1" applyFill="1" applyBorder="1" applyAlignment="1">
      <alignment horizontal="center" vertical="center"/>
    </xf>
    <xf numFmtId="0" fontId="39" fillId="0" borderId="85" xfId="0" applyFont="1" applyBorder="1" applyAlignment="1">
      <alignment horizontal="center"/>
    </xf>
    <xf numFmtId="3" fontId="0" fillId="17" borderId="85" xfId="0" applyNumberFormat="1" applyFill="1" applyBorder="1" applyAlignment="1">
      <alignment horizontal="center" vertical="center"/>
    </xf>
    <xf numFmtId="173" fontId="0" fillId="17" borderId="85" xfId="0" applyNumberFormat="1" applyFill="1" applyBorder="1" applyAlignment="1">
      <alignment horizontal="center" vertical="center"/>
    </xf>
    <xf numFmtId="4" fontId="0" fillId="0" borderId="85" xfId="0" applyNumberFormat="1" applyBorder="1" applyAlignment="1">
      <alignment horizontal="center" vertical="center" wrapText="1"/>
    </xf>
    <xf numFmtId="4" fontId="0" fillId="20" borderId="85" xfId="0" applyNumberFormat="1" applyFill="1" applyBorder="1" applyAlignment="1">
      <alignment horizontal="center" vertical="center"/>
    </xf>
    <xf numFmtId="171" fontId="0" fillId="20" borderId="85" xfId="0" applyNumberFormat="1" applyFill="1" applyBorder="1" applyAlignment="1">
      <alignment horizontal="center" vertical="center"/>
    </xf>
    <xf numFmtId="3" fontId="0" fillId="20" borderId="85" xfId="0" applyNumberFormat="1" applyFill="1" applyBorder="1" applyAlignment="1">
      <alignment horizontal="center" vertical="center"/>
    </xf>
    <xf numFmtId="173" fontId="0" fillId="20" borderId="85" xfId="0" applyNumberFormat="1" applyFill="1" applyBorder="1" applyAlignment="1">
      <alignment horizontal="center" vertical="center"/>
    </xf>
    <xf numFmtId="4" fontId="0" fillId="19" borderId="85" xfId="0" applyNumberFormat="1" applyFill="1" applyBorder="1" applyAlignment="1">
      <alignment horizontal="center" vertical="center"/>
    </xf>
    <xf numFmtId="174" fontId="0" fillId="19" borderId="85" xfId="0" applyNumberFormat="1" applyFill="1" applyBorder="1" applyAlignment="1">
      <alignment horizontal="center" vertical="center"/>
    </xf>
    <xf numFmtId="0" fontId="0" fillId="0" borderId="85" xfId="0" applyBorder="1" applyAlignment="1">
      <alignment vertical="center"/>
    </xf>
    <xf numFmtId="0" fontId="39" fillId="0" borderId="85" xfId="0" applyFont="1" applyBorder="1" applyAlignment="1">
      <alignment horizontal="right"/>
    </xf>
    <xf numFmtId="0" fontId="16" fillId="8" borderId="10" xfId="0" applyFont="1" applyFill="1" applyBorder="1" applyAlignment="1">
      <alignment horizontal="center" vertical="center" wrapText="1"/>
    </xf>
    <xf numFmtId="49" fontId="16" fillId="8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4" fontId="24" fillId="19" borderId="28" xfId="0" applyNumberFormat="1" applyFont="1" applyFill="1" applyBorder="1" applyAlignment="1">
      <alignment horizontal="center" vertical="center"/>
    </xf>
    <xf numFmtId="174" fontId="24" fillId="19" borderId="28" xfId="0" applyNumberFormat="1" applyFont="1" applyFill="1" applyBorder="1" applyAlignment="1">
      <alignment horizontal="center" vertical="center"/>
    </xf>
    <xf numFmtId="0" fontId="0" fillId="0" borderId="85" xfId="0" quotePrefix="1" applyBorder="1" applyAlignment="1">
      <alignment horizontal="center" vertical="center"/>
    </xf>
    <xf numFmtId="172" fontId="0" fillId="0" borderId="85" xfId="0" applyNumberFormat="1" applyBorder="1" applyAlignment="1">
      <alignment horizontal="center" vertical="center"/>
    </xf>
    <xf numFmtId="4" fontId="25" fillId="17" borderId="85" xfId="0" applyNumberFormat="1" applyFont="1" applyFill="1" applyBorder="1" applyAlignment="1">
      <alignment horizontal="center" vertical="center"/>
    </xf>
    <xf numFmtId="3" fontId="0" fillId="0" borderId="85" xfId="0" applyNumberFormat="1" applyBorder="1" applyAlignment="1">
      <alignment horizontal="center" vertical="center"/>
    </xf>
    <xf numFmtId="3" fontId="0" fillId="18" borderId="85" xfId="0" applyNumberFormat="1" applyFill="1" applyBorder="1" applyAlignment="1">
      <alignment horizontal="center" vertical="center"/>
    </xf>
    <xf numFmtId="4" fontId="0" fillId="18" borderId="85" xfId="0" applyNumberFormat="1" applyFill="1" applyBorder="1" applyAlignment="1">
      <alignment horizontal="center" vertical="center"/>
    </xf>
    <xf numFmtId="172" fontId="0" fillId="18" borderId="85" xfId="0" applyNumberFormat="1" applyFill="1" applyBorder="1" applyAlignment="1">
      <alignment horizontal="center" vertical="center"/>
    </xf>
    <xf numFmtId="4" fontId="25" fillId="18" borderId="85" xfId="0" applyNumberFormat="1" applyFont="1" applyFill="1" applyBorder="1" applyAlignment="1">
      <alignment horizontal="center" vertical="center"/>
    </xf>
    <xf numFmtId="173" fontId="0" fillId="19" borderId="85" xfId="0" applyNumberFormat="1" applyFill="1" applyBorder="1" applyAlignment="1">
      <alignment horizontal="center" vertical="center"/>
    </xf>
    <xf numFmtId="10" fontId="1" fillId="19" borderId="85" xfId="3" applyNumberFormat="1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 wrapText="1"/>
    </xf>
    <xf numFmtId="0" fontId="16" fillId="21" borderId="35" xfId="0" applyFont="1" applyFill="1" applyBorder="1" applyAlignment="1">
      <alignment horizontal="center" vertical="center" wrapText="1"/>
    </xf>
    <xf numFmtId="3" fontId="24" fillId="19" borderId="25" xfId="0" applyNumberFormat="1" applyFont="1" applyFill="1" applyBorder="1" applyAlignment="1">
      <alignment horizontal="center" vertical="center"/>
    </xf>
    <xf numFmtId="4" fontId="24" fillId="19" borderId="44" xfId="0" applyNumberFormat="1" applyFont="1" applyFill="1" applyBorder="1" applyAlignment="1">
      <alignment horizontal="center" vertical="center"/>
    </xf>
    <xf numFmtId="4" fontId="24" fillId="19" borderId="27" xfId="0" applyNumberFormat="1" applyFont="1" applyFill="1" applyBorder="1" applyAlignment="1">
      <alignment horizontal="center" vertical="center"/>
    </xf>
    <xf numFmtId="3" fontId="24" fillId="19" borderId="44" xfId="0" applyNumberFormat="1" applyFont="1" applyFill="1" applyBorder="1" applyAlignment="1">
      <alignment horizontal="center" vertical="center"/>
    </xf>
    <xf numFmtId="4" fontId="24" fillId="19" borderId="22" xfId="0" applyNumberFormat="1" applyFont="1" applyFill="1" applyBorder="1" applyAlignment="1">
      <alignment horizontal="center" vertical="center"/>
    </xf>
    <xf numFmtId="9" fontId="24" fillId="19" borderId="44" xfId="3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0" fillId="40" borderId="71" xfId="0" applyFill="1" applyBorder="1"/>
    <xf numFmtId="0" fontId="0" fillId="0" borderId="72" xfId="0" applyBorder="1" applyAlignment="1">
      <alignment horizontal="left"/>
    </xf>
    <xf numFmtId="0" fontId="0" fillId="33" borderId="73" xfId="0" applyFill="1" applyBorder="1" applyAlignment="1">
      <alignment horizontal="left" vertical="center"/>
    </xf>
    <xf numFmtId="0" fontId="0" fillId="40" borderId="74" xfId="0" applyFill="1" applyBorder="1"/>
    <xf numFmtId="0" fontId="0" fillId="33" borderId="75" xfId="0" applyFill="1" applyBorder="1" applyAlignment="1">
      <alignment horizontal="left" vertical="center"/>
    </xf>
    <xf numFmtId="0" fontId="0" fillId="40" borderId="76" xfId="0" applyFill="1" applyBorder="1"/>
    <xf numFmtId="0" fontId="0" fillId="22" borderId="0" xfId="0" applyFill="1" applyAlignment="1">
      <alignment horizontal="left"/>
    </xf>
    <xf numFmtId="0" fontId="0" fillId="22" borderId="76" xfId="0" applyFill="1" applyBorder="1"/>
    <xf numFmtId="0" fontId="0" fillId="22" borderId="77" xfId="0" applyFill="1" applyBorder="1" applyAlignment="1">
      <alignment horizontal="left"/>
    </xf>
    <xf numFmtId="4" fontId="0" fillId="33" borderId="78" xfId="0" applyNumberFormat="1" applyFill="1" applyBorder="1" applyAlignment="1">
      <alignment horizontal="left" vertical="center"/>
    </xf>
    <xf numFmtId="0" fontId="52" fillId="0" borderId="5" xfId="0" applyFont="1" applyBorder="1" applyAlignment="1">
      <alignment horizontal="left" vertical="center"/>
    </xf>
    <xf numFmtId="0" fontId="0" fillId="0" borderId="67" xfId="0" applyBorder="1" applyAlignment="1">
      <alignment horizontal="center" vertical="center" wrapText="1"/>
    </xf>
    <xf numFmtId="0" fontId="0" fillId="0" borderId="56" xfId="0" applyBorder="1"/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22" borderId="86" xfId="0" applyFill="1" applyBorder="1" applyAlignment="1">
      <alignment horizontal="center" vertical="center"/>
    </xf>
    <xf numFmtId="0" fontId="0" fillId="22" borderId="87" xfId="0" applyFill="1" applyBorder="1" applyAlignment="1">
      <alignment horizontal="center" vertical="center"/>
    </xf>
    <xf numFmtId="0" fontId="0" fillId="22" borderId="56" xfId="0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0" fillId="0" borderId="15" xfId="0" applyBorder="1"/>
    <xf numFmtId="0" fontId="16" fillId="7" borderId="17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0" fillId="0" borderId="16" xfId="0" applyBorder="1"/>
    <xf numFmtId="0" fontId="16" fillId="5" borderId="6" xfId="0" applyFont="1" applyFill="1" applyBorder="1" applyAlignment="1">
      <alignment horizontal="center" vertical="center"/>
    </xf>
    <xf numFmtId="0" fontId="0" fillId="0" borderId="62" xfId="0" applyBorder="1"/>
    <xf numFmtId="0" fontId="0" fillId="0" borderId="63" xfId="0" applyBorder="1"/>
    <xf numFmtId="0" fontId="16" fillId="5" borderId="6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 wrapText="1"/>
    </xf>
    <xf numFmtId="0" fontId="0" fillId="0" borderId="48" xfId="0" applyBorder="1"/>
    <xf numFmtId="0" fontId="16" fillId="9" borderId="36" xfId="0" applyFont="1" applyFill="1" applyBorder="1" applyAlignment="1">
      <alignment horizontal="center" vertical="center" wrapText="1"/>
    </xf>
    <xf numFmtId="0" fontId="0" fillId="0" borderId="50" xfId="0" applyBorder="1"/>
    <xf numFmtId="0" fontId="16" fillId="11" borderId="33" xfId="0" applyFont="1" applyFill="1" applyBorder="1" applyAlignment="1">
      <alignment horizontal="center" vertical="center" wrapText="1"/>
    </xf>
    <xf numFmtId="49" fontId="18" fillId="8" borderId="34" xfId="0" applyNumberFormat="1" applyFont="1" applyFill="1" applyBorder="1" applyAlignment="1">
      <alignment horizontal="center" vertical="center"/>
    </xf>
    <xf numFmtId="0" fontId="0" fillId="0" borderId="51" xfId="0" applyBorder="1"/>
    <xf numFmtId="0" fontId="16" fillId="10" borderId="24" xfId="0" applyFont="1" applyFill="1" applyBorder="1" applyAlignment="1">
      <alignment horizontal="center" vertical="center" wrapText="1"/>
    </xf>
    <xf numFmtId="0" fontId="0" fillId="0" borderId="29" xfId="0" applyBorder="1"/>
    <xf numFmtId="0" fontId="16" fillId="10" borderId="36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6" fillId="9" borderId="24" xfId="0" applyFont="1" applyFill="1" applyBorder="1" applyAlignment="1">
      <alignment horizontal="center" vertical="center" wrapText="1"/>
    </xf>
    <xf numFmtId="0" fontId="26" fillId="23" borderId="57" xfId="0" applyFont="1" applyFill="1" applyBorder="1" applyAlignment="1">
      <alignment horizontal="center" vertical="center" wrapText="1"/>
    </xf>
    <xf numFmtId="0" fontId="0" fillId="0" borderId="57" xfId="0" applyBorder="1"/>
    <xf numFmtId="0" fontId="16" fillId="10" borderId="34" xfId="0" applyFont="1" applyFill="1" applyBorder="1" applyAlignment="1">
      <alignment horizontal="center" vertical="center" wrapText="1"/>
    </xf>
    <xf numFmtId="0" fontId="16" fillId="11" borderId="35" xfId="0" applyFont="1" applyFill="1" applyBorder="1" applyAlignment="1">
      <alignment horizontal="center" vertical="center" wrapText="1"/>
    </xf>
    <xf numFmtId="0" fontId="0" fillId="0" borderId="70" xfId="0" applyBorder="1"/>
    <xf numFmtId="0" fontId="16" fillId="6" borderId="15" xfId="0" applyFont="1" applyFill="1" applyBorder="1" applyAlignment="1">
      <alignment horizontal="center" vertical="center"/>
    </xf>
    <xf numFmtId="0" fontId="16" fillId="9" borderId="35" xfId="0" applyFont="1" applyFill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16" fillId="6" borderId="39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left" vertical="center"/>
    </xf>
    <xf numFmtId="0" fontId="16" fillId="5" borderId="41" xfId="0" applyFont="1" applyFill="1" applyBorder="1" applyAlignment="1">
      <alignment horizontal="left" vertical="center"/>
    </xf>
    <xf numFmtId="0" fontId="16" fillId="7" borderId="17" xfId="0" applyFont="1" applyFill="1" applyBorder="1" applyAlignment="1">
      <alignment horizontal="left" vertical="center"/>
    </xf>
    <xf numFmtId="0" fontId="28" fillId="25" borderId="60" xfId="4" applyFont="1" applyFill="1" applyBorder="1" applyAlignment="1">
      <alignment horizontal="center" vertical="center" wrapText="1"/>
    </xf>
    <xf numFmtId="0" fontId="0" fillId="0" borderId="68" xfId="0" applyBorder="1"/>
    <xf numFmtId="0" fontId="29" fillId="24" borderId="69" xfId="4" applyFont="1" applyFill="1" applyBorder="1" applyAlignment="1">
      <alignment horizontal="center" vertical="center" wrapText="1"/>
    </xf>
    <xf numFmtId="0" fontId="0" fillId="0" borderId="61" xfId="0" applyBorder="1"/>
    <xf numFmtId="0" fontId="36" fillId="36" borderId="12" xfId="0" applyFont="1" applyFill="1" applyBorder="1" applyAlignment="1">
      <alignment horizontal="center" vertical="center" wrapText="1"/>
    </xf>
    <xf numFmtId="0" fontId="36" fillId="36" borderId="11" xfId="0" applyFont="1" applyFill="1" applyBorder="1" applyAlignment="1">
      <alignment horizontal="center" vertical="center" wrapText="1"/>
    </xf>
    <xf numFmtId="0" fontId="28" fillId="0" borderId="0" xfId="4" applyFont="1" applyAlignment="1">
      <alignment horizontal="center" vertical="center" wrapText="1"/>
    </xf>
    <xf numFmtId="0" fontId="0" fillId="0" borderId="0" xfId="0"/>
    <xf numFmtId="0" fontId="36" fillId="38" borderId="1" xfId="0" applyFont="1" applyFill="1" applyBorder="1" applyAlignment="1">
      <alignment horizontal="left" vertical="center"/>
    </xf>
    <xf numFmtId="0" fontId="37" fillId="36" borderId="4" xfId="0" applyFont="1" applyFill="1" applyBorder="1"/>
    <xf numFmtId="0" fontId="29" fillId="0" borderId="0" xfId="4" applyFont="1" applyAlignment="1">
      <alignment horizontal="center" vertical="center" wrapText="1"/>
    </xf>
    <xf numFmtId="0" fontId="36" fillId="36" borderId="3" xfId="0" applyFont="1" applyFill="1" applyBorder="1" applyAlignment="1">
      <alignment horizontal="center" vertical="center"/>
    </xf>
    <xf numFmtId="0" fontId="37" fillId="36" borderId="6" xfId="0" applyFont="1" applyFill="1" applyBorder="1"/>
    <xf numFmtId="0" fontId="38" fillId="39" borderId="8" xfId="0" applyFont="1" applyFill="1" applyBorder="1" applyAlignment="1">
      <alignment horizontal="center"/>
    </xf>
    <xf numFmtId="0" fontId="38" fillId="39" borderId="9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164" fontId="33" fillId="27" borderId="6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/>
    </xf>
    <xf numFmtId="179" fontId="33" fillId="27" borderId="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/>
    <xf numFmtId="179" fontId="33" fillId="27" borderId="6" xfId="0" applyNumberFormat="1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32" fillId="2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31" fillId="26" borderId="6" xfId="0" applyFont="1" applyFill="1" applyBorder="1" applyAlignment="1">
      <alignment horizontal="center" vertical="center" wrapText="1"/>
    </xf>
    <xf numFmtId="2" fontId="33" fillId="27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0" fillId="26" borderId="6" xfId="0" applyFont="1" applyFill="1" applyBorder="1" applyAlignment="1">
      <alignment horizontal="center" vertical="center" wrapText="1"/>
    </xf>
  </cellXfs>
  <cellStyles count="40">
    <cellStyle name="Cálculo 2" xfId="9" xr:uid="{A2CF9054-2BC7-4E65-9664-DB7CBDAEC81D}"/>
    <cellStyle name="Entrada 2" xfId="10" xr:uid="{B5DCDB9F-EE6C-4B84-8406-A3BA0F8E09F4}"/>
    <cellStyle name="Hiperligação" xfId="2" builtinId="8"/>
    <cellStyle name="Moeda" xfId="5" builtinId="4"/>
    <cellStyle name="Normal" xfId="0" builtinId="0"/>
    <cellStyle name="Normal 10" xfId="34" xr:uid="{AD460797-52F3-4AE7-8CE0-2DCC106364E7}"/>
    <cellStyle name="Normal 10 2" xfId="39" xr:uid="{7DA4B9AB-D706-4BBC-9C36-A87EB2C15366}"/>
    <cellStyle name="Normal 11" xfId="6" xr:uid="{B5442AB5-E0F8-416C-AB2C-334784B65BA6}"/>
    <cellStyle name="Normal 2" xfId="1" xr:uid="{00000000-0005-0000-0000-000001000000}"/>
    <cellStyle name="Normal 2 2" xfId="11" xr:uid="{C654134C-49BC-47F9-A11A-79A05E3F1F33}"/>
    <cellStyle name="Normal 3" xfId="4" xr:uid="{00000000-0005-0000-0000-000004000000}"/>
    <cellStyle name="Normal 3 2" xfId="13" xr:uid="{AC1F2615-BB7D-405C-B5D0-F0DEC72B43D2}"/>
    <cellStyle name="Normal 3 3" xfId="12" xr:uid="{A1433B9B-3633-4DBA-93AB-97D8714B1E2A}"/>
    <cellStyle name="Normal 4" xfId="14" xr:uid="{0E1ED6FC-E848-41FD-B69E-EC1498F2AEB5}"/>
    <cellStyle name="Normal 4 2" xfId="35" xr:uid="{449878D0-BD91-46DB-9E52-AC6EA1A1B543}"/>
    <cellStyle name="Normal 5" xfId="29" xr:uid="{58BDECA3-C2BB-4A81-A329-05DBA5E64A54}"/>
    <cellStyle name="Normal 5 2" xfId="33" xr:uid="{1C331894-1A81-4D8B-9A09-3DCD476E98C4}"/>
    <cellStyle name="Normal 6" xfId="8" xr:uid="{CC7A497A-B55E-460F-B57E-019AA33F2864}"/>
    <cellStyle name="Normal 7" xfId="30" xr:uid="{E0BC95B3-73A9-403A-9231-5DE84053DF2F}"/>
    <cellStyle name="Normal 8" xfId="31" xr:uid="{19DDA0B0-8439-4F5B-AAC3-F0AC28F9BFFC}"/>
    <cellStyle name="Normal 8 2" xfId="37" xr:uid="{10DF562E-DD87-47A8-852B-722B3AC70E25}"/>
    <cellStyle name="Normal 9" xfId="32" xr:uid="{296A9AB2-6536-405D-A61E-BC1ABB5DC9DF}"/>
    <cellStyle name="Normal 9 2" xfId="38" xr:uid="{BD383340-AE62-4E9D-9101-B7F4F460F554}"/>
    <cellStyle name="Nota 2" xfId="15" xr:uid="{965B8585-440E-477B-B775-56FB6E30E740}"/>
    <cellStyle name="Percentagem" xfId="3" builtinId="5"/>
    <cellStyle name="Porcentagem 2" xfId="16" xr:uid="{984E950D-DFD0-4126-9EB5-94A77F6E0FDD}"/>
    <cellStyle name="Porcentagem 3" xfId="17" xr:uid="{063FD23C-52F4-42A4-AD51-4DA559E04AFC}"/>
    <cellStyle name="Porcentagem 3 2" xfId="18" xr:uid="{C609010F-C7B6-426A-9682-699FB6E02381}"/>
    <cellStyle name="Porcentagem 4" xfId="19" xr:uid="{24424DB0-F762-4404-98E1-3AEA873E1A21}"/>
    <cellStyle name="Saída 2" xfId="20" xr:uid="{0181EF1D-4DEC-441F-9034-353E22CC4612}"/>
    <cellStyle name="Separador de milhares 2" xfId="21" xr:uid="{56B6779E-E4E9-4C21-AA33-1BFD9DE8FD9F}"/>
    <cellStyle name="Texto de Aviso 2" xfId="22" xr:uid="{372EE698-BE0F-49AF-8656-B51FB129772E}"/>
    <cellStyle name="Texto Explicativo 2" xfId="23" xr:uid="{257232ED-C9C0-48D5-8400-F62147F030A2}"/>
    <cellStyle name="Título 5" xfId="25" xr:uid="{94930AD3-7D35-41BB-9094-B0AA930CF9E7}"/>
    <cellStyle name="Total 2" xfId="24" xr:uid="{8ABE5944-693B-42EC-A513-80BAF51C6894}"/>
    <cellStyle name="Vírgula 2" xfId="26" xr:uid="{92544812-DEA5-4822-9098-3225147CC6D9}"/>
    <cellStyle name="Vírgula 2 2" xfId="27" xr:uid="{04F630F7-BC3A-43C4-96D1-8137BD73F688}"/>
    <cellStyle name="Vírgula 3" xfId="28" xr:uid="{5DC50563-2E3B-47DD-9C02-D977FA6EE613}"/>
    <cellStyle name="Vírgula 4" xfId="7" xr:uid="{100BEE78-9D22-4E40-9790-45367CDD6A78}"/>
    <cellStyle name="Vírgula 5" xfId="36" xr:uid="{C0E04DAE-160E-470A-B1DF-F24A14536E6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4E5A2"/>
      <rgbColor rgb="FF808080"/>
      <rgbColor rgb="FF83CBEB"/>
      <rgbColor rgb="FFA02B93"/>
      <rgbColor rgb="FFF2F2F2"/>
      <rgbColor rgb="FFCAEEFB"/>
      <rgbColor rgb="FF660066"/>
      <rgbColor rgb="FFFF8080"/>
      <rgbColor rgb="FF215C98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F0"/>
      <rgbColor rgb="FFD9F2D0"/>
      <rgbColor rgb="FFCCFFCC"/>
      <rgbColor rgb="FFFFFF99"/>
      <rgbColor rgb="FF96DCF8"/>
      <rgbColor rgb="FFE59EDD"/>
      <rgbColor rgb="FFF2CFEE"/>
      <rgbColor rgb="FFF2AA84"/>
      <rgbColor rgb="FF3366FF"/>
      <rgbColor rgb="FF46B1E1"/>
      <rgbColor rgb="FF92D050"/>
      <rgbColor rgb="FFFFC000"/>
      <rgbColor rgb="FFFF9900"/>
      <rgbColor rgb="FFE97132"/>
      <rgbColor rgb="FF595959"/>
      <rgbColor rgb="FFC1E5F5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Consumo Total (kW)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ln w="2844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UC_DADOS!$D$37:$D$48</c:f>
              <c:strCache>
                <c:ptCount val="12"/>
                <c:pt idx="0">
                  <c:v>mai/25</c:v>
                </c:pt>
                <c:pt idx="1">
                  <c:v>jul/25</c:v>
                </c:pt>
                <c:pt idx="2">
                  <c:v>out/25</c:v>
                </c:pt>
                <c:pt idx="3">
                  <c:v>nov/25</c:v>
                </c:pt>
                <c:pt idx="4">
                  <c:v>dez/25</c:v>
                </c:pt>
                <c:pt idx="5">
                  <c:v>jan/26</c:v>
                </c:pt>
                <c:pt idx="6">
                  <c:v>fev/26</c:v>
                </c:pt>
                <c:pt idx="7">
                  <c:v>mar/26</c:v>
                </c:pt>
                <c:pt idx="8">
                  <c:v>Sem Histórico Disponível</c:v>
                </c:pt>
                <c:pt idx="9">
                  <c:v>Sem Histórico Disponível</c:v>
                </c:pt>
                <c:pt idx="10">
                  <c:v>Sem Histórico Disponível</c:v>
                </c:pt>
                <c:pt idx="11">
                  <c:v>Sem Histórico Disponível</c:v>
                </c:pt>
              </c:strCache>
            </c: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996.6</c:v>
                </c:pt>
                <c:pt idx="1">
                  <c:v>1443.48</c:v>
                </c:pt>
                <c:pt idx="2">
                  <c:v>2205.2799999999997</c:v>
                </c:pt>
                <c:pt idx="3">
                  <c:v>3247.14</c:v>
                </c:pt>
                <c:pt idx="4">
                  <c:v>3562.9500000000003</c:v>
                </c:pt>
                <c:pt idx="5">
                  <c:v>2874.75</c:v>
                </c:pt>
                <c:pt idx="6">
                  <c:v>1047.72</c:v>
                </c:pt>
                <c:pt idx="7">
                  <c:v>3364.56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1-42AB-9886-A4A64FEE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530048"/>
        <c:axId val="97588552"/>
      </c:lineChart>
      <c:catAx>
        <c:axId val="7253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97588552"/>
        <c:crosses val="autoZero"/>
        <c:auto val="1"/>
        <c:lblAlgn val="ctr"/>
        <c:lblOffset val="100"/>
        <c:noMultiLvlLbl val="0"/>
      </c:catAx>
      <c:valAx>
        <c:axId val="9758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6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600" b="1" strike="noStrike" spc="-1">
                    <a:solidFill>
                      <a:srgbClr val="000000"/>
                    </a:solidFill>
                    <a:latin typeface="Aptos Narrow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53004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Consumos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UC_DADOS!$D$37:$D$48</c:f>
              <c:strCache>
                <c:ptCount val="12"/>
                <c:pt idx="0">
                  <c:v>mai/25</c:v>
                </c:pt>
                <c:pt idx="1">
                  <c:v>jul/25</c:v>
                </c:pt>
                <c:pt idx="2">
                  <c:v>out/25</c:v>
                </c:pt>
                <c:pt idx="3">
                  <c:v>nov/25</c:v>
                </c:pt>
                <c:pt idx="4">
                  <c:v>dez/25</c:v>
                </c:pt>
                <c:pt idx="5">
                  <c:v>jan/26</c:v>
                </c:pt>
                <c:pt idx="6">
                  <c:v>fev/26</c:v>
                </c:pt>
                <c:pt idx="7">
                  <c:v>mar/26</c:v>
                </c:pt>
                <c:pt idx="8">
                  <c:v>Sem Histórico Disponível</c:v>
                </c:pt>
                <c:pt idx="9">
                  <c:v>Sem Histórico Disponível</c:v>
                </c:pt>
                <c:pt idx="10">
                  <c:v>Sem Histórico Disponível</c:v>
                </c:pt>
                <c:pt idx="11">
                  <c:v>Sem Histórico Disponível</c:v>
                </c:pt>
              </c:strCache>
            </c: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996.6</c:v>
                </c:pt>
                <c:pt idx="1">
                  <c:v>1443.48</c:v>
                </c:pt>
                <c:pt idx="2">
                  <c:v>2205.2799999999997</c:v>
                </c:pt>
                <c:pt idx="3">
                  <c:v>3247.14</c:v>
                </c:pt>
                <c:pt idx="4">
                  <c:v>3562.9500000000003</c:v>
                </c:pt>
                <c:pt idx="5">
                  <c:v>2874.75</c:v>
                </c:pt>
                <c:pt idx="6">
                  <c:v>1047.72</c:v>
                </c:pt>
                <c:pt idx="7">
                  <c:v>3364.56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42-AA1D-2885C4307926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UC_DADOS!$F$37:$F$48</c:f>
              <c:numCache>
                <c:formatCode>General</c:formatCode>
                <c:ptCount val="12"/>
                <c:pt idx="0">
                  <c:v>936.03</c:v>
                </c:pt>
                <c:pt idx="1">
                  <c:v>1367.76</c:v>
                </c:pt>
                <c:pt idx="2">
                  <c:v>2113.14</c:v>
                </c:pt>
                <c:pt idx="3">
                  <c:v>3172.17</c:v>
                </c:pt>
                <c:pt idx="4">
                  <c:v>3480.9</c:v>
                </c:pt>
                <c:pt idx="5">
                  <c:v>2788.41</c:v>
                </c:pt>
                <c:pt idx="6">
                  <c:v>997.53</c:v>
                </c:pt>
                <c:pt idx="7">
                  <c:v>3281.64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42-AA1D-2885C4307926}"/>
            </c:ext>
          </c:extLst>
        </c:ser>
        <c:ser>
          <c:idx val="2"/>
          <c:order val="2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UC_DADOS!$E$37:$E$48</c:f>
              <c:numCache>
                <c:formatCode>General</c:formatCode>
                <c:ptCount val="12"/>
                <c:pt idx="0">
                  <c:v>60.57</c:v>
                </c:pt>
                <c:pt idx="1">
                  <c:v>75.72</c:v>
                </c:pt>
                <c:pt idx="2">
                  <c:v>92.14</c:v>
                </c:pt>
                <c:pt idx="3">
                  <c:v>74.97</c:v>
                </c:pt>
                <c:pt idx="4">
                  <c:v>82.05</c:v>
                </c:pt>
                <c:pt idx="5">
                  <c:v>86.34</c:v>
                </c:pt>
                <c:pt idx="6">
                  <c:v>50.19</c:v>
                </c:pt>
                <c:pt idx="7">
                  <c:v>82.92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42-AA1D-2885C43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67968"/>
        <c:axId val="1650876128"/>
      </c:barChart>
      <c:catAx>
        <c:axId val="1650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76128"/>
        <c:crosses val="autoZero"/>
        <c:auto val="1"/>
        <c:lblAlgn val="ctr"/>
        <c:lblOffset val="100"/>
        <c:noMultiLvlLbl val="0"/>
      </c:catAx>
      <c:valAx>
        <c:axId val="1650876128"/>
        <c:scaling>
          <c:orientation val="minMax"/>
          <c:max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kWh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67968"/>
        <c:crosses val="autoZero"/>
        <c:crossBetween val="between"/>
        <c:majorUnit val="1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Distribuição do Consumo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626205229752798E-2"/>
          <c:y val="0.13612791040769051"/>
          <c:w val="0.94582234849454383"/>
          <c:h val="0.7395434553739173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CONSUMO_EQP!$B$2:$B$6</c:f>
              <c:numCache>
                <c:formatCode>#,##0.00</c:formatCode>
                <c:ptCount val="5"/>
                <c:pt idx="0">
                  <c:v>4.2745437500000003</c:v>
                </c:pt>
                <c:pt idx="1">
                  <c:v>38.194307999999999</c:v>
                </c:pt>
                <c:pt idx="2">
                  <c:v>0</c:v>
                </c:pt>
                <c:pt idx="3" formatCode="#,##0">
                  <c:v>5.3300160000000005</c:v>
                </c:pt>
                <c:pt idx="4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8E6-A1BE-EA56503EBFB5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C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E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0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2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4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CONSUMO_EQP!$C$2:$C$6</c:f>
              <c:numCache>
                <c:formatCode>0.00</c:formatCode>
                <c:ptCount val="5"/>
                <c:pt idx="0">
                  <c:v>8.9140523821956403</c:v>
                </c:pt>
                <c:pt idx="1">
                  <c:v>79.649684767810356</c:v>
                </c:pt>
                <c:pt idx="2">
                  <c:v>0</c:v>
                </c:pt>
                <c:pt idx="3">
                  <c:v>11.115114173750328</c:v>
                </c:pt>
                <c:pt idx="4">
                  <c:v>0.32114867624366422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12-48E6-A1BE-EA56503E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172458</xdr:colOff>
      <xdr:row>0</xdr:row>
      <xdr:rowOff>169844</xdr:rowOff>
    </xdr:from>
    <xdr:to>
      <xdr:col>30</xdr:col>
      <xdr:colOff>415548</xdr:colOff>
      <xdr:row>28</xdr:row>
      <xdr:rowOff>186415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244928</xdr:colOff>
      <xdr:row>0</xdr:row>
      <xdr:rowOff>145596</xdr:rowOff>
    </xdr:from>
    <xdr:to>
      <xdr:col>10</xdr:col>
      <xdr:colOff>190500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517071</xdr:colOff>
      <xdr:row>0</xdr:row>
      <xdr:rowOff>172809</xdr:rowOff>
    </xdr:from>
    <xdr:to>
      <xdr:col>16</xdr:col>
      <xdr:colOff>27215</xdr:colOff>
      <xdr:row>28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%20Carvalho\Downloads\Planilha%20de%20Avalia&#231;&#227;o_DE_att_v3.xlsx" TargetMode="External"/><Relationship Id="rId1" Type="http://schemas.openxmlformats.org/officeDocument/2006/relationships/externalLinkPath" Target="https://ecoluz.sharepoint.com/personal/rafaelferreira_voltxs_com_br/Documents/&#193;rea%20de%20Trabalho/livros/Listas/Eudeblack/Planilha%20de%20Avalia&#231;&#227;o_DE_at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@Referência"/>
      <sheetName val="Consumidor"/>
      <sheetName val="Responsável técnico"/>
      <sheetName val="Pré-Diagnóstico"/>
      <sheetName val="Sistemas de Iluminação"/>
      <sheetName val="RCB - Iluminação"/>
      <sheetName val="Sistemas de Cond. Ambiental (2)"/>
      <sheetName val="RCB - Cond. Ambiental"/>
      <sheetName val="Sistemas de Motor"/>
      <sheetName val="RCB - Motor"/>
      <sheetName val="Sistemas de Refrigeração"/>
      <sheetName val="RCB - Refrigeração"/>
      <sheetName val="Sistemas de Aquecimento de Água"/>
      <sheetName val="RCB - Aquecimento de água"/>
      <sheetName val="Sistemas Solar Fotovoltaico"/>
      <sheetName val="RCB - Solar Fotovoltaico"/>
      <sheetName val="Sistemas Outros"/>
      <sheetName val="RCB - Outros"/>
      <sheetName val="RCB - Consolidada"/>
      <sheetName val="Cronograma físico"/>
      <sheetName val="Cronograma financeiro"/>
      <sheetName val="Custo Contábil - Global"/>
      <sheetName val="RCB - Global"/>
      <sheetName val="Sistemas de Cond.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Carvalho" id="{BC83A5BE-2F3B-487C-9826-74A04D9BB5CF}" userId="S::andrecarvalho@voltxs.com.br::4b3e4001-8082-47bb-ac2f-905a0f0029b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5-12T00:08:40.93" personId="{BC83A5BE-2F3B-487C-9826-74A04D9BB5CF}" id="{E371DA82-A8A9-4ACE-A0DA-11F08B7DD798}">
    <text xml:space="preserve">Ar-condicionado sempre 0,7
</text>
  </threadedComment>
  <threadedComment ref="O2" dT="2026-05-12T00:25:14.96" personId="{BC83A5BE-2F3B-487C-9826-74A04D9BB5CF}" id="{5ED02AF7-95D1-4AB3-BC2C-0DF6084AF5ED}">
    <text>Areas administrativas não possuem gap de meses (ferias), já salas de aula e refeitorios, sim 2 meses de gap no periodo de férias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5-12T00:27:06.23" personId="{BC83A5BE-2F3B-487C-9826-74A04D9BB5CF}" id="{38B345D5-909A-46A6-98E0-8CDC2129C4E6}">
    <text xml:space="preserve">Identificar na foto
</text>
  </threadedComment>
  <threadedComment ref="F2" dT="2026-05-12T00:26:54.03" personId="{BC83A5BE-2F3B-487C-9826-74A04D9BB5CF}" id="{9AE46E93-BFE0-4D63-9C8F-AFD2A1AFE3E5}">
    <text>Identificar na foto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57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648011-1A25-4025-93DA-5AEACE15C59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e5bc3c1-bbe7-4973-9163-1bc37fe4d1fe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ducacao@prefs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4E-2ED0-4964-95FB-F7ECA6193BA7}">
  <dimension ref="A1:F230"/>
  <sheetViews>
    <sheetView tabSelected="1" topLeftCell="A51" zoomScale="81" zoomScaleNormal="81" workbookViewId="0">
      <selection activeCell="A101" sqref="A101"/>
    </sheetView>
  </sheetViews>
  <sheetFormatPr defaultColWidth="8.5703125" defaultRowHeight="15" x14ac:dyDescent="0.25"/>
  <cols>
    <col min="1" max="1" width="102.85546875" bestFit="1" customWidth="1"/>
    <col min="2" max="2" width="11.85546875" bestFit="1" customWidth="1"/>
    <col min="3" max="3" width="18.42578125" bestFit="1" customWidth="1"/>
    <col min="4" max="4" width="56.5703125" bestFit="1" customWidth="1"/>
    <col min="5" max="5" width="67.140625" bestFit="1" customWidth="1"/>
    <col min="6" max="6" width="54.7109375" bestFit="1" customWidth="1"/>
  </cols>
  <sheetData>
    <row r="1" spans="1:5" ht="15.75" x14ac:dyDescent="0.25">
      <c r="A1" s="130" t="s">
        <v>0</v>
      </c>
      <c r="B1" s="130" t="s">
        <v>1</v>
      </c>
      <c r="C1" s="130" t="s">
        <v>2</v>
      </c>
      <c r="D1" s="130" t="s">
        <v>3</v>
      </c>
      <c r="E1" s="130" t="s">
        <v>4</v>
      </c>
    </row>
    <row r="2" spans="1:5" x14ac:dyDescent="0.25">
      <c r="A2" s="131" t="s">
        <v>5</v>
      </c>
      <c r="B2" t="s">
        <v>6</v>
      </c>
      <c r="C2" t="s">
        <v>7</v>
      </c>
      <c r="D2" s="132" t="s">
        <v>8</v>
      </c>
      <c r="E2" s="247" t="str">
        <f>IFERROR(UC_DADOS!B7,0)</f>
        <v>71 9935-2628</v>
      </c>
    </row>
    <row r="3" spans="1:5" ht="15" customHeight="1" x14ac:dyDescent="0.25">
      <c r="A3" s="133" t="s">
        <v>9</v>
      </c>
      <c r="B3" t="s">
        <v>6</v>
      </c>
      <c r="C3" t="s">
        <v>7</v>
      </c>
      <c r="D3" s="134" t="s">
        <v>10</v>
      </c>
      <c r="E3" s="247" t="str">
        <f>IFERROR(UC_DADOS!B1,0)</f>
        <v>MUNICIPIO DE SALVADOR 744 CMEI OLGA BENARIO</v>
      </c>
    </row>
    <row r="4" spans="1:5" ht="15" customHeight="1" x14ac:dyDescent="0.25">
      <c r="A4" t="s">
        <v>11</v>
      </c>
      <c r="B4" t="s">
        <v>6</v>
      </c>
      <c r="C4" t="s">
        <v>7</v>
      </c>
      <c r="D4" s="135" t="s">
        <v>12</v>
      </c>
      <c r="E4" s="248">
        <f>IFERROR(UC_DADOS!B8,0)</f>
        <v>46086</v>
      </c>
    </row>
    <row r="5" spans="1:5" ht="15" customHeight="1" x14ac:dyDescent="0.25">
      <c r="A5" s="131" t="s">
        <v>5</v>
      </c>
      <c r="B5" t="s">
        <v>13</v>
      </c>
      <c r="C5" t="s">
        <v>7</v>
      </c>
      <c r="D5" s="132" t="s">
        <v>8</v>
      </c>
      <c r="E5" s="247" t="str">
        <f>IFERROR(E2,0)</f>
        <v>71 9935-2628</v>
      </c>
    </row>
    <row r="6" spans="1:5" ht="15" customHeight="1" x14ac:dyDescent="0.25">
      <c r="A6" s="133" t="s">
        <v>9</v>
      </c>
      <c r="B6" t="s">
        <v>13</v>
      </c>
      <c r="C6" t="s">
        <v>7</v>
      </c>
      <c r="D6" s="134" t="s">
        <v>10</v>
      </c>
      <c r="E6" s="247" t="str">
        <f>IFERROR(E3,0)</f>
        <v>MUNICIPIO DE SALVADOR 744 CMEI OLGA BENARIO</v>
      </c>
    </row>
    <row r="7" spans="1:5" ht="15" customHeight="1" x14ac:dyDescent="0.25">
      <c r="A7" t="s">
        <v>14</v>
      </c>
      <c r="B7" t="s">
        <v>13</v>
      </c>
      <c r="C7" t="s">
        <v>7</v>
      </c>
      <c r="D7" s="135" t="s">
        <v>10</v>
      </c>
      <c r="E7" s="247" t="str">
        <f>IFERROR(E6,0)</f>
        <v>MUNICIPIO DE SALVADOR 744 CMEI OLGA BENARIO</v>
      </c>
    </row>
    <row r="8" spans="1:5" ht="15" customHeight="1" x14ac:dyDescent="0.25">
      <c r="A8" t="s">
        <v>11</v>
      </c>
      <c r="B8" t="s">
        <v>13</v>
      </c>
      <c r="C8" t="s">
        <v>7</v>
      </c>
      <c r="D8" s="135" t="s">
        <v>12</v>
      </c>
      <c r="E8" s="248">
        <f>IFERROR(E4,0)</f>
        <v>46086</v>
      </c>
    </row>
    <row r="9" spans="1:5" ht="15" customHeight="1" x14ac:dyDescent="0.25">
      <c r="A9" s="235" t="s">
        <v>15</v>
      </c>
      <c r="B9" s="236">
        <v>6</v>
      </c>
      <c r="C9" s="236" t="s">
        <v>16</v>
      </c>
      <c r="D9" s="135" t="s">
        <v>10</v>
      </c>
      <c r="E9" s="247" t="str">
        <f>IFERROR(E3,0)</f>
        <v>MUNICIPIO DE SALVADOR 744 CMEI OLGA BENARIO</v>
      </c>
    </row>
    <row r="10" spans="1:5" ht="15" customHeight="1" x14ac:dyDescent="0.25">
      <c r="A10" s="235" t="s">
        <v>17</v>
      </c>
      <c r="B10" s="236">
        <v>6</v>
      </c>
      <c r="C10" s="236" t="s">
        <v>16</v>
      </c>
      <c r="D10" s="135" t="s">
        <v>18</v>
      </c>
      <c r="E10" s="247">
        <f>IFERROR(UC_DADOS!B2,0)</f>
        <v>7041435180</v>
      </c>
    </row>
    <row r="11" spans="1:5" ht="15" customHeight="1" x14ac:dyDescent="0.25">
      <c r="A11" s="235" t="s">
        <v>19</v>
      </c>
      <c r="B11" s="236">
        <v>6</v>
      </c>
      <c r="C11" s="236" t="s">
        <v>16</v>
      </c>
      <c r="D11" s="135" t="s">
        <v>20</v>
      </c>
      <c r="E11" s="247" t="str">
        <f>IFERROR(UC_DADOS!B3,0)</f>
        <v>Escola</v>
      </c>
    </row>
    <row r="12" spans="1:5" ht="15" customHeight="1" x14ac:dyDescent="0.25">
      <c r="A12" s="235" t="s">
        <v>21</v>
      </c>
      <c r="B12" s="236">
        <v>6</v>
      </c>
      <c r="C12" s="236" t="s">
        <v>16</v>
      </c>
      <c r="D12" s="135" t="s">
        <v>22</v>
      </c>
      <c r="E12" s="247" t="str">
        <f>IFERROR(UC_DADOS!B4,0)</f>
        <v>Rua Fernando São Paulo, Dóron</v>
      </c>
    </row>
    <row r="13" spans="1:5" ht="15" customHeight="1" x14ac:dyDescent="0.25">
      <c r="A13" s="235" t="s">
        <v>23</v>
      </c>
      <c r="B13" s="236">
        <v>6</v>
      </c>
      <c r="C13" s="236" t="s">
        <v>16</v>
      </c>
      <c r="D13" s="135" t="s">
        <v>24</v>
      </c>
      <c r="E13" s="247" t="str">
        <f>IFERROR(UC_DADOS!B6,0)</f>
        <v xml:space="preserve">Silvia </v>
      </c>
    </row>
    <row r="14" spans="1:5" ht="15" customHeight="1" x14ac:dyDescent="0.25">
      <c r="A14" s="235" t="s">
        <v>25</v>
      </c>
      <c r="B14" s="236">
        <v>6</v>
      </c>
      <c r="C14" s="236" t="s">
        <v>16</v>
      </c>
      <c r="D14" s="135" t="s">
        <v>26</v>
      </c>
      <c r="E14" s="247" t="str">
        <f>IFERROR(UC_DADOS!B7,0)</f>
        <v>71 9935-2628</v>
      </c>
    </row>
    <row r="15" spans="1:5" ht="15" customHeight="1" x14ac:dyDescent="0.25">
      <c r="A15" s="235" t="s">
        <v>27</v>
      </c>
      <c r="B15" s="236">
        <v>6</v>
      </c>
      <c r="C15" s="236" t="s">
        <v>16</v>
      </c>
      <c r="D15" s="135" t="s">
        <v>28</v>
      </c>
      <c r="E15" s="249" t="str">
        <f>IFERROR(UC_DADOS!B9,0)</f>
        <v>educacao@prefs.com.br</v>
      </c>
    </row>
    <row r="16" spans="1:5" ht="15" customHeight="1" x14ac:dyDescent="0.25">
      <c r="A16" t="s">
        <v>29</v>
      </c>
      <c r="B16" s="136">
        <v>8</v>
      </c>
      <c r="C16" s="136" t="s">
        <v>30</v>
      </c>
      <c r="D16" s="135" t="s">
        <v>31</v>
      </c>
      <c r="E16" s="247" t="str">
        <f>IFERROR(UC_DADOS!B5,0)</f>
        <v>Dóron, Salvador-BA</v>
      </c>
    </row>
    <row r="17" spans="1:5" ht="15" customHeight="1" x14ac:dyDescent="0.25">
      <c r="A17" s="237" t="s">
        <v>32</v>
      </c>
      <c r="B17" s="238">
        <v>11</v>
      </c>
      <c r="C17" s="238" t="s">
        <v>33</v>
      </c>
      <c r="D17" s="135" t="s">
        <v>34</v>
      </c>
      <c r="E17" s="250" t="str">
        <f>IFERROR(TABELAS_RESUMO!B12,0)</f>
        <v>Substituição por LED e sensores</v>
      </c>
    </row>
    <row r="18" spans="1:5" ht="15" customHeight="1" x14ac:dyDescent="0.25">
      <c r="A18" s="237" t="s">
        <v>35</v>
      </c>
      <c r="B18" s="238">
        <v>11</v>
      </c>
      <c r="C18" s="238" t="s">
        <v>33</v>
      </c>
      <c r="D18" s="135" t="s">
        <v>36</v>
      </c>
      <c r="E18" s="250" t="str">
        <f>IFERROR(TABELAS_RESUMO!B13,0)</f>
        <v>Troca de aparelhos de ar-condicionado e automação</v>
      </c>
    </row>
    <row r="19" spans="1:5" ht="15" customHeight="1" x14ac:dyDescent="0.25">
      <c r="A19" s="237" t="s">
        <v>37</v>
      </c>
      <c r="B19" s="238">
        <v>11</v>
      </c>
      <c r="C19" s="238" t="s">
        <v>33</v>
      </c>
      <c r="D19" s="135" t="s">
        <v>38</v>
      </c>
      <c r="E19" s="250" t="str">
        <f>IFERROR(TABELAS_RESUMO!B14,0)</f>
        <v>Substituição por motores de alto rendimento</v>
      </c>
    </row>
    <row r="20" spans="1:5" ht="15" customHeight="1" x14ac:dyDescent="0.25">
      <c r="A20" s="237" t="s">
        <v>39</v>
      </c>
      <c r="B20" s="238">
        <v>11</v>
      </c>
      <c r="C20" s="238" t="s">
        <v>33</v>
      </c>
      <c r="D20" s="135" t="s">
        <v>40</v>
      </c>
      <c r="E20" s="250" t="str">
        <f>IFERROR(TABELAS_RESUMO!B15,0)</f>
        <v>Troca de refrigeradores comerciais ineficientes</v>
      </c>
    </row>
    <row r="21" spans="1:5" ht="15" customHeight="1" x14ac:dyDescent="0.25">
      <c r="A21" s="237" t="s">
        <v>41</v>
      </c>
      <c r="B21" s="238">
        <v>11</v>
      </c>
      <c r="C21" s="238" t="s">
        <v>33</v>
      </c>
      <c r="D21" s="135" t="s">
        <v>42</v>
      </c>
      <c r="E21" s="250" t="str">
        <f>IFERROR(TABELAS_RESUMO!B16,0)</f>
        <v>Sistema conectado à rede (GD)</v>
      </c>
    </row>
    <row r="22" spans="1:5" ht="15" customHeight="1" x14ac:dyDescent="0.25">
      <c r="A22" s="239" t="s">
        <v>43</v>
      </c>
      <c r="B22" s="240">
        <v>11</v>
      </c>
      <c r="C22" s="240" t="s">
        <v>33</v>
      </c>
      <c r="D22" s="135" t="s">
        <v>44</v>
      </c>
      <c r="E22" s="251">
        <f>IFERROR(TABELAS_RESUMO!C12,0)</f>
        <v>0</v>
      </c>
    </row>
    <row r="23" spans="1:5" ht="15" customHeight="1" x14ac:dyDescent="0.25">
      <c r="A23" s="239" t="s">
        <v>45</v>
      </c>
      <c r="B23" s="240">
        <v>11</v>
      </c>
      <c r="C23" s="240" t="s">
        <v>33</v>
      </c>
      <c r="D23" s="135" t="s">
        <v>46</v>
      </c>
      <c r="E23" s="251">
        <f>IFERROR(TABELAS_RESUMO!C13,0)</f>
        <v>0</v>
      </c>
    </row>
    <row r="24" spans="1:5" ht="15" customHeight="1" x14ac:dyDescent="0.25">
      <c r="A24" s="239" t="s">
        <v>47</v>
      </c>
      <c r="B24" s="240">
        <v>11</v>
      </c>
      <c r="C24" s="240" t="s">
        <v>33</v>
      </c>
      <c r="D24" s="135" t="s">
        <v>48</v>
      </c>
      <c r="E24" s="251">
        <f>IFERROR(TABELAS_RESUMO!C14,0)</f>
        <v>0</v>
      </c>
    </row>
    <row r="25" spans="1:5" ht="15" customHeight="1" x14ac:dyDescent="0.25">
      <c r="A25" s="239" t="s">
        <v>49</v>
      </c>
      <c r="B25" s="240">
        <v>11</v>
      </c>
      <c r="C25" s="240" t="s">
        <v>33</v>
      </c>
      <c r="D25" s="135" t="s">
        <v>50</v>
      </c>
      <c r="E25" s="251">
        <f>IFERROR(TABELAS_RESUMO!C15,0)</f>
        <v>0</v>
      </c>
    </row>
    <row r="26" spans="1:5" ht="15" customHeight="1" x14ac:dyDescent="0.25">
      <c r="A26" s="239" t="s">
        <v>51</v>
      </c>
      <c r="B26" s="240">
        <v>11</v>
      </c>
      <c r="C26" s="240" t="s">
        <v>33</v>
      </c>
      <c r="D26" s="135" t="s">
        <v>52</v>
      </c>
      <c r="E26" s="251">
        <f>IFERROR(TABELAS_RESUMO!C16,0)</f>
        <v>0</v>
      </c>
    </row>
    <row r="27" spans="1:5" ht="15" customHeight="1" x14ac:dyDescent="0.25">
      <c r="A27" s="239" t="s">
        <v>53</v>
      </c>
      <c r="B27" s="240">
        <v>11</v>
      </c>
      <c r="C27" s="240" t="s">
        <v>33</v>
      </c>
      <c r="D27" s="135" t="s">
        <v>54</v>
      </c>
      <c r="E27" s="251">
        <f>IFERROR(TABELAS_RESUMO!C17,0)</f>
        <v>0</v>
      </c>
    </row>
    <row r="28" spans="1:5" ht="15" customHeight="1" x14ac:dyDescent="0.25">
      <c r="A28" s="239" t="s">
        <v>55</v>
      </c>
      <c r="B28" s="240">
        <v>11</v>
      </c>
      <c r="C28" s="240" t="s">
        <v>33</v>
      </c>
      <c r="D28" s="135" t="s">
        <v>56</v>
      </c>
      <c r="E28" s="251">
        <f>IFERROR(TABELAS_RESUMO!D12,0)</f>
        <v>0</v>
      </c>
    </row>
    <row r="29" spans="1:5" ht="15" customHeight="1" x14ac:dyDescent="0.25">
      <c r="A29" s="239" t="s">
        <v>57</v>
      </c>
      <c r="B29" s="240">
        <v>11</v>
      </c>
      <c r="C29" s="240" t="s">
        <v>33</v>
      </c>
      <c r="D29" s="135" t="s">
        <v>58</v>
      </c>
      <c r="E29" s="251">
        <f>IFERROR(TABELAS_RESUMO!D13,0)</f>
        <v>0</v>
      </c>
    </row>
    <row r="30" spans="1:5" ht="15" customHeight="1" x14ac:dyDescent="0.25">
      <c r="A30" s="239" t="s">
        <v>59</v>
      </c>
      <c r="B30" s="240">
        <v>11</v>
      </c>
      <c r="C30" s="240" t="s">
        <v>33</v>
      </c>
      <c r="D30" s="135" t="s">
        <v>60</v>
      </c>
      <c r="E30" s="251">
        <f>IFERROR(TABELAS_RESUMO!D14,0)</f>
        <v>0</v>
      </c>
    </row>
    <row r="31" spans="1:5" ht="15" customHeight="1" x14ac:dyDescent="0.25">
      <c r="A31" s="239" t="s">
        <v>61</v>
      </c>
      <c r="B31" s="240">
        <v>11</v>
      </c>
      <c r="C31" s="240" t="s">
        <v>33</v>
      </c>
      <c r="D31" s="135" t="s">
        <v>62</v>
      </c>
      <c r="E31" s="251">
        <f>IFERROR(TABELAS_RESUMO!D15,0)</f>
        <v>0</v>
      </c>
    </row>
    <row r="32" spans="1:5" ht="15" customHeight="1" x14ac:dyDescent="0.25">
      <c r="A32" s="239" t="s">
        <v>63</v>
      </c>
      <c r="B32" s="240">
        <v>11</v>
      </c>
      <c r="C32" s="240" t="s">
        <v>33</v>
      </c>
      <c r="D32" s="135" t="s">
        <v>64</v>
      </c>
      <c r="E32" s="251">
        <f>IFERROR(TABELAS_RESUMO!D16,0)</f>
        <v>0</v>
      </c>
    </row>
    <row r="33" spans="1:6" ht="15" customHeight="1" x14ac:dyDescent="0.25">
      <c r="A33" s="239" t="s">
        <v>65</v>
      </c>
      <c r="B33" s="240">
        <v>11</v>
      </c>
      <c r="C33" s="240" t="s">
        <v>33</v>
      </c>
      <c r="D33" s="135" t="s">
        <v>66</v>
      </c>
      <c r="E33" s="251">
        <f>IFERROR(TABELAS_RESUMO!D17,0)</f>
        <v>0</v>
      </c>
    </row>
    <row r="34" spans="1:6" ht="15" customHeight="1" x14ac:dyDescent="0.25">
      <c r="A34" s="239" t="s">
        <v>67</v>
      </c>
      <c r="B34" s="240">
        <v>11</v>
      </c>
      <c r="C34" s="240" t="s">
        <v>33</v>
      </c>
      <c r="D34" s="135" t="s">
        <v>68</v>
      </c>
      <c r="E34" s="251">
        <f>IFERROR(TABELAS_RESUMO!E12,0)</f>
        <v>0</v>
      </c>
    </row>
    <row r="35" spans="1:6" ht="15" customHeight="1" x14ac:dyDescent="0.25">
      <c r="A35" s="239" t="s">
        <v>69</v>
      </c>
      <c r="B35" s="240">
        <v>11</v>
      </c>
      <c r="C35" s="240" t="s">
        <v>33</v>
      </c>
      <c r="D35" s="135" t="s">
        <v>70</v>
      </c>
      <c r="E35" s="251">
        <f>IFERROR(TABELAS_RESUMO!E13,0)</f>
        <v>0</v>
      </c>
    </row>
    <row r="36" spans="1:6" ht="15" customHeight="1" x14ac:dyDescent="0.25">
      <c r="A36" s="239" t="s">
        <v>71</v>
      </c>
      <c r="B36" s="240">
        <v>11</v>
      </c>
      <c r="C36" s="240" t="s">
        <v>33</v>
      </c>
      <c r="D36" s="135" t="s">
        <v>72</v>
      </c>
      <c r="E36" s="251">
        <f>IFERROR(TABELAS_RESUMO!E14,0)</f>
        <v>0</v>
      </c>
    </row>
    <row r="37" spans="1:6" ht="15" customHeight="1" x14ac:dyDescent="0.25">
      <c r="A37" s="239" t="s">
        <v>73</v>
      </c>
      <c r="B37" s="240">
        <v>11</v>
      </c>
      <c r="C37" s="240" t="s">
        <v>33</v>
      </c>
      <c r="D37" s="135" t="s">
        <v>74</v>
      </c>
      <c r="E37" s="251">
        <f>IFERROR(TABELAS_RESUMO!E15,0)</f>
        <v>0</v>
      </c>
    </row>
    <row r="38" spans="1:6" ht="15" customHeight="1" x14ac:dyDescent="0.25">
      <c r="A38" s="239" t="s">
        <v>75</v>
      </c>
      <c r="B38" s="240">
        <v>11</v>
      </c>
      <c r="C38" s="240" t="s">
        <v>33</v>
      </c>
      <c r="D38" s="135" t="s">
        <v>76</v>
      </c>
      <c r="E38" s="251">
        <f>IFERROR(TABELAS_RESUMO!E16,0)</f>
        <v>0</v>
      </c>
    </row>
    <row r="39" spans="1:6" x14ac:dyDescent="0.25">
      <c r="A39" s="239" t="s">
        <v>77</v>
      </c>
      <c r="B39" s="240">
        <v>11</v>
      </c>
      <c r="C39" s="240" t="s">
        <v>33</v>
      </c>
      <c r="D39" s="135" t="s">
        <v>78</v>
      </c>
      <c r="E39" s="251">
        <f>IFERROR(TABELAS_RESUMO!E17,0)</f>
        <v>0</v>
      </c>
    </row>
    <row r="40" spans="1:6" x14ac:dyDescent="0.25">
      <c r="A40" t="s">
        <v>15</v>
      </c>
      <c r="B40" s="136">
        <v>12</v>
      </c>
      <c r="C40" s="136" t="s">
        <v>79</v>
      </c>
      <c r="D40" s="135" t="s">
        <v>10</v>
      </c>
      <c r="E40" s="247" t="str">
        <f>IFERROR(E3,0)</f>
        <v>MUNICIPIO DE SALVADOR 744 CMEI OLGA BENARIO</v>
      </c>
    </row>
    <row r="41" spans="1:6" ht="15" customHeight="1" x14ac:dyDescent="0.25">
      <c r="A41" s="241" t="s">
        <v>80</v>
      </c>
      <c r="B41" s="242">
        <v>20</v>
      </c>
      <c r="C41" s="242" t="s">
        <v>81</v>
      </c>
      <c r="D41" s="135" t="s">
        <v>82</v>
      </c>
      <c r="E41" s="247" t="str">
        <f>IFERROR(UC_DADOS!B29,0)</f>
        <v>Grupo A</v>
      </c>
    </row>
    <row r="42" spans="1:6" ht="15" customHeight="1" x14ac:dyDescent="0.25">
      <c r="A42" s="241" t="s">
        <v>83</v>
      </c>
      <c r="B42" s="242">
        <v>20</v>
      </c>
      <c r="C42" s="242" t="s">
        <v>81</v>
      </c>
      <c r="D42" s="135" t="s">
        <v>84</v>
      </c>
      <c r="E42" s="247" t="str">
        <f>IFERROR(UC_DADOS!B18,0)</f>
        <v>Alta Tensão - Verde</v>
      </c>
    </row>
    <row r="43" spans="1:6" ht="15" customHeight="1" x14ac:dyDescent="0.25">
      <c r="A43" s="241" t="s">
        <v>85</v>
      </c>
      <c r="B43" s="242">
        <v>20</v>
      </c>
      <c r="C43" s="242" t="s">
        <v>81</v>
      </c>
      <c r="D43" s="135" t="s">
        <v>86</v>
      </c>
      <c r="E43" s="247">
        <f>IFERROR(UC_DADOS!B19,0)</f>
        <v>80</v>
      </c>
    </row>
    <row r="44" spans="1:6" ht="15" customHeight="1" x14ac:dyDescent="0.25">
      <c r="A44" s="241" t="s">
        <v>87</v>
      </c>
      <c r="B44" s="242">
        <v>20</v>
      </c>
      <c r="C44" s="242" t="s">
        <v>81</v>
      </c>
      <c r="D44" s="135" t="s">
        <v>88</v>
      </c>
      <c r="E44" s="247">
        <f>IFERROR(UC_DADOS!B20,0)</f>
        <v>11039337</v>
      </c>
    </row>
    <row r="45" spans="1:6" ht="15" customHeight="1" x14ac:dyDescent="0.25">
      <c r="A45" s="241" t="s">
        <v>89</v>
      </c>
      <c r="B45" s="242">
        <v>20</v>
      </c>
      <c r="C45" s="242" t="s">
        <v>81</v>
      </c>
      <c r="D45" s="135" t="s">
        <v>18</v>
      </c>
      <c r="E45" s="247">
        <f>IFERROR(UC_DADOS!B21,0)</f>
        <v>7041435180</v>
      </c>
    </row>
    <row r="46" spans="1:6" ht="15.75" thickBot="1" x14ac:dyDescent="0.3">
      <c r="A46" s="241" t="s">
        <v>90</v>
      </c>
      <c r="B46" s="242">
        <v>20</v>
      </c>
      <c r="C46" s="242" t="s">
        <v>81</v>
      </c>
      <c r="D46" s="135" t="s">
        <v>91</v>
      </c>
      <c r="E46" s="247" t="str">
        <f>IFERROR(UC_DADOS!B22,0)</f>
        <v>A4 Horo-sazonal Verde PODER PUBLICO MUNICIPAL</v>
      </c>
    </row>
    <row r="47" spans="1:6" ht="15" customHeight="1" x14ac:dyDescent="0.25">
      <c r="A47" s="254" t="s">
        <v>92</v>
      </c>
      <c r="B47" s="255">
        <v>21</v>
      </c>
      <c r="C47" s="255" t="s">
        <v>81</v>
      </c>
      <c r="D47" s="256" t="s">
        <v>93</v>
      </c>
      <c r="E47" s="257">
        <f>IFERROR(CONSUMO_EQP!$B$2,0)</f>
        <v>4.2745437500000003</v>
      </c>
      <c r="F47" s="389" t="s">
        <v>105</v>
      </c>
    </row>
    <row r="48" spans="1:6" ht="15" customHeight="1" x14ac:dyDescent="0.25">
      <c r="A48" s="258" t="s">
        <v>94</v>
      </c>
      <c r="B48" s="379">
        <v>21</v>
      </c>
      <c r="C48" s="379" t="s">
        <v>81</v>
      </c>
      <c r="D48" s="135" t="s">
        <v>95</v>
      </c>
      <c r="E48" s="259">
        <f>IFERROR(CONSUMO_EQP!$B$3,0)</f>
        <v>38.194307999999999</v>
      </c>
      <c r="F48" s="390"/>
    </row>
    <row r="49" spans="1:6" ht="15" customHeight="1" x14ac:dyDescent="0.25">
      <c r="A49" s="258" t="s">
        <v>96</v>
      </c>
      <c r="B49" s="379">
        <v>21</v>
      </c>
      <c r="C49" s="379" t="s">
        <v>81</v>
      </c>
      <c r="D49" s="135" t="s">
        <v>97</v>
      </c>
      <c r="E49" s="259">
        <f>IFERROR(CONSUMO_EQP!$B$4,0)</f>
        <v>0</v>
      </c>
      <c r="F49" s="390"/>
    </row>
    <row r="50" spans="1:6" ht="15" customHeight="1" x14ac:dyDescent="0.25">
      <c r="A50" s="258" t="s">
        <v>98</v>
      </c>
      <c r="B50" s="379">
        <v>21</v>
      </c>
      <c r="C50" s="379" t="s">
        <v>81</v>
      </c>
      <c r="D50" s="135" t="s">
        <v>99</v>
      </c>
      <c r="E50" s="260">
        <f>IFERROR(CONSUMO_EQP!$B$5,0)</f>
        <v>5.3300160000000005</v>
      </c>
      <c r="F50" s="390"/>
    </row>
    <row r="51" spans="1:6" ht="15" customHeight="1" x14ac:dyDescent="0.25">
      <c r="A51" s="258" t="s">
        <v>100</v>
      </c>
      <c r="B51" s="379">
        <v>21</v>
      </c>
      <c r="C51" s="379" t="s">
        <v>81</v>
      </c>
      <c r="D51" s="135" t="s">
        <v>101</v>
      </c>
      <c r="E51" s="259">
        <f>IFERROR(CONSUMO_EQP!$B$6,0)</f>
        <v>0.154</v>
      </c>
      <c r="F51" s="390"/>
    </row>
    <row r="52" spans="1:6" ht="15" customHeight="1" thickBot="1" x14ac:dyDescent="0.3">
      <c r="A52" s="380" t="s">
        <v>102</v>
      </c>
      <c r="B52" s="381">
        <v>21</v>
      </c>
      <c r="C52" s="381" t="s">
        <v>81</v>
      </c>
      <c r="D52" s="261" t="s">
        <v>103</v>
      </c>
      <c r="E52" s="382">
        <f>IFERROR(CONSUMO_EQP!$B$7,0)</f>
        <v>47.952867750000003</v>
      </c>
      <c r="F52" s="391"/>
    </row>
    <row r="53" spans="1:6" ht="15" customHeight="1" x14ac:dyDescent="0.25">
      <c r="A53" s="133" t="s">
        <v>104</v>
      </c>
      <c r="B53" s="136">
        <v>21</v>
      </c>
      <c r="C53" s="136" t="s">
        <v>81</v>
      </c>
      <c r="D53" s="135" t="s">
        <v>928</v>
      </c>
      <c r="E53" s="247" t="s">
        <v>105</v>
      </c>
    </row>
    <row r="54" spans="1:6" ht="15" customHeight="1" x14ac:dyDescent="0.25">
      <c r="A54" s="243" t="s">
        <v>106</v>
      </c>
      <c r="B54" s="244">
        <v>22</v>
      </c>
      <c r="C54" s="244" t="s">
        <v>107</v>
      </c>
      <c r="D54" s="135" t="s">
        <v>108</v>
      </c>
      <c r="E54" s="247" t="str">
        <f>IFERROR(UC_DADOS!A12,0)</f>
        <v>Alunos</v>
      </c>
    </row>
    <row r="55" spans="1:6" ht="15" customHeight="1" x14ac:dyDescent="0.25">
      <c r="A55" s="243" t="s">
        <v>109</v>
      </c>
      <c r="B55" s="244">
        <v>22</v>
      </c>
      <c r="C55" s="244" t="s">
        <v>107</v>
      </c>
      <c r="D55" s="135" t="s">
        <v>110</v>
      </c>
      <c r="E55" s="247">
        <f>IFERROR(UC_DADOS!B12,0)</f>
        <v>275</v>
      </c>
    </row>
    <row r="56" spans="1:6" ht="15" customHeight="1" x14ac:dyDescent="0.25">
      <c r="A56" s="243" t="s">
        <v>111</v>
      </c>
      <c r="B56" s="244">
        <v>22</v>
      </c>
      <c r="C56" s="244" t="s">
        <v>107</v>
      </c>
      <c r="D56" s="135" t="s">
        <v>112</v>
      </c>
      <c r="E56" s="252">
        <f>IFERROR(UC_DADOS!B13,0)</f>
        <v>2342.81</v>
      </c>
    </row>
    <row r="57" spans="1:6" ht="15" customHeight="1" x14ac:dyDescent="0.25">
      <c r="A57" s="243" t="s">
        <v>113</v>
      </c>
      <c r="B57" s="244">
        <v>22</v>
      </c>
      <c r="C57" s="244" t="s">
        <v>107</v>
      </c>
      <c r="D57" s="135" t="s">
        <v>114</v>
      </c>
      <c r="E57" s="252">
        <f>IFERROR(UC_DADOS!B14,0)</f>
        <v>8.5193090909090898</v>
      </c>
    </row>
    <row r="58" spans="1:6" ht="15" customHeight="1" x14ac:dyDescent="0.25">
      <c r="A58" t="s">
        <v>115</v>
      </c>
      <c r="B58" s="136">
        <v>23</v>
      </c>
      <c r="C58" s="136" t="s">
        <v>116</v>
      </c>
      <c r="D58" s="135" t="s">
        <v>82</v>
      </c>
      <c r="E58" s="247" t="str">
        <f>IFERROR(UC_DADOS!B29,0)</f>
        <v>Grupo A</v>
      </c>
    </row>
    <row r="59" spans="1:6" ht="15" customHeight="1" x14ac:dyDescent="0.25">
      <c r="A59" t="s">
        <v>83</v>
      </c>
      <c r="B59" s="136">
        <v>23</v>
      </c>
      <c r="C59" s="136" t="s">
        <v>116</v>
      </c>
      <c r="D59" s="135" t="s">
        <v>84</v>
      </c>
      <c r="E59" s="247" t="str">
        <f>IFERROR(E42,0)</f>
        <v>Alta Tensão - Verde</v>
      </c>
    </row>
    <row r="60" spans="1:6" ht="15" customHeight="1" x14ac:dyDescent="0.25">
      <c r="A60" t="s">
        <v>117</v>
      </c>
      <c r="B60" s="136">
        <v>23</v>
      </c>
      <c r="C60" s="136" t="s">
        <v>116</v>
      </c>
      <c r="D60" s="135" t="s">
        <v>86</v>
      </c>
      <c r="E60" s="247">
        <f>IFERROR(E43,0)</f>
        <v>80</v>
      </c>
    </row>
    <row r="61" spans="1:6" ht="15" customHeight="1" x14ac:dyDescent="0.25">
      <c r="A61" t="s">
        <v>118</v>
      </c>
      <c r="B61" s="136">
        <v>23</v>
      </c>
      <c r="C61" s="136" t="s">
        <v>116</v>
      </c>
      <c r="D61" s="135" t="s">
        <v>119</v>
      </c>
      <c r="E61" s="247" t="str">
        <f>IFERROR(UC_DADOS!D37,0)</f>
        <v>mai/25</v>
      </c>
    </row>
    <row r="62" spans="1:6" ht="15" customHeight="1" x14ac:dyDescent="0.25">
      <c r="A62" t="s">
        <v>120</v>
      </c>
      <c r="B62" s="136">
        <v>23</v>
      </c>
      <c r="C62" s="136" t="s">
        <v>116</v>
      </c>
      <c r="D62" s="135" t="s">
        <v>121</v>
      </c>
      <c r="E62" s="247" t="str">
        <f>IFERROR(UC_DADOS!D48,0)</f>
        <v>Sem Histórico Disponível</v>
      </c>
    </row>
    <row r="63" spans="1:6" ht="15" customHeight="1" x14ac:dyDescent="0.25">
      <c r="A63" t="s">
        <v>122</v>
      </c>
      <c r="B63" s="136">
        <v>23</v>
      </c>
      <c r="C63" s="136" t="s">
        <v>116</v>
      </c>
      <c r="D63" s="135" t="s">
        <v>123</v>
      </c>
      <c r="E63" s="247" t="str">
        <f>IFERROR(UC_DADOS!B33,0)</f>
        <v>Neoenergia Coelba - Bahia</v>
      </c>
    </row>
    <row r="64" spans="1:6" ht="15" customHeight="1" x14ac:dyDescent="0.25">
      <c r="A64" t="s">
        <v>124</v>
      </c>
      <c r="B64" s="136">
        <v>23</v>
      </c>
      <c r="C64" s="136" t="s">
        <v>116</v>
      </c>
      <c r="D64" s="135" t="s">
        <v>125</v>
      </c>
      <c r="E64" s="252">
        <f>IFERROR(UC_DADOS!B32,0)</f>
        <v>4707.45</v>
      </c>
    </row>
    <row r="65" spans="1:5" ht="15" customHeight="1" x14ac:dyDescent="0.25">
      <c r="A65" s="253" t="s">
        <v>929</v>
      </c>
      <c r="B65" s="136">
        <v>23</v>
      </c>
      <c r="C65" s="136" t="s">
        <v>116</v>
      </c>
      <c r="D65" s="135" t="s">
        <v>126</v>
      </c>
      <c r="E65" s="247" t="str">
        <f>IFERROR(UC_DADOS!D37,0)</f>
        <v>mai/25</v>
      </c>
    </row>
    <row r="66" spans="1:5" ht="15" customHeight="1" x14ac:dyDescent="0.25">
      <c r="A66" s="253" t="s">
        <v>930</v>
      </c>
      <c r="B66" s="136">
        <v>23</v>
      </c>
      <c r="C66" s="136" t="s">
        <v>116</v>
      </c>
      <c r="D66" s="135" t="s">
        <v>127</v>
      </c>
      <c r="E66" s="247" t="str">
        <f>IFERROR(UC_DADOS!D38,0)</f>
        <v>jul/25</v>
      </c>
    </row>
    <row r="67" spans="1:5" ht="15" customHeight="1" x14ac:dyDescent="0.25">
      <c r="A67" s="253" t="s">
        <v>931</v>
      </c>
      <c r="B67" s="136">
        <v>23</v>
      </c>
      <c r="C67" s="136" t="s">
        <v>116</v>
      </c>
      <c r="D67" s="135" t="s">
        <v>128</v>
      </c>
      <c r="E67" s="247" t="str">
        <f>IFERROR(UC_DADOS!D39,0)</f>
        <v>out/25</v>
      </c>
    </row>
    <row r="68" spans="1:5" ht="15" customHeight="1" x14ac:dyDescent="0.25">
      <c r="A68" s="253" t="s">
        <v>932</v>
      </c>
      <c r="B68" s="136">
        <v>23</v>
      </c>
      <c r="C68" s="136" t="s">
        <v>116</v>
      </c>
      <c r="D68" s="135" t="s">
        <v>129</v>
      </c>
      <c r="E68" s="247" t="str">
        <f>IFERROR(UC_DADOS!D40,0)</f>
        <v>nov/25</v>
      </c>
    </row>
    <row r="69" spans="1:5" ht="15" customHeight="1" x14ac:dyDescent="0.25">
      <c r="A69" s="253" t="s">
        <v>933</v>
      </c>
      <c r="B69" s="136">
        <v>23</v>
      </c>
      <c r="C69" s="136" t="s">
        <v>116</v>
      </c>
      <c r="D69" s="135" t="s">
        <v>130</v>
      </c>
      <c r="E69" s="247" t="str">
        <f>IFERROR(UC_DADOS!D41,0)</f>
        <v>dez/25</v>
      </c>
    </row>
    <row r="70" spans="1:5" ht="15" customHeight="1" x14ac:dyDescent="0.25">
      <c r="A70" s="253" t="s">
        <v>934</v>
      </c>
      <c r="B70" s="136">
        <v>23</v>
      </c>
      <c r="C70" s="136" t="s">
        <v>116</v>
      </c>
      <c r="D70" s="135" t="s">
        <v>131</v>
      </c>
      <c r="E70" s="247" t="str">
        <f>IFERROR(UC_DADOS!D42,0)</f>
        <v>jan/26</v>
      </c>
    </row>
    <row r="71" spans="1:5" ht="15" customHeight="1" x14ac:dyDescent="0.25">
      <c r="A71" s="253" t="s">
        <v>935</v>
      </c>
      <c r="B71" s="136">
        <v>23</v>
      </c>
      <c r="C71" s="136" t="s">
        <v>116</v>
      </c>
      <c r="D71" s="135" t="s">
        <v>132</v>
      </c>
      <c r="E71" s="247" t="str">
        <f>IFERROR(UC_DADOS!D43,0)</f>
        <v>fev/26</v>
      </c>
    </row>
    <row r="72" spans="1:5" ht="15" customHeight="1" x14ac:dyDescent="0.25">
      <c r="A72" s="253" t="s">
        <v>936</v>
      </c>
      <c r="B72" s="136">
        <v>23</v>
      </c>
      <c r="C72" s="136" t="s">
        <v>116</v>
      </c>
      <c r="D72" s="135" t="s">
        <v>133</v>
      </c>
      <c r="E72" s="247" t="str">
        <f>IFERROR(UC_DADOS!D44,0)</f>
        <v>mar/26</v>
      </c>
    </row>
    <row r="73" spans="1:5" ht="15" customHeight="1" x14ac:dyDescent="0.25">
      <c r="A73" s="253" t="s">
        <v>937</v>
      </c>
      <c r="B73" s="136">
        <v>23</v>
      </c>
      <c r="C73" s="136" t="s">
        <v>116</v>
      </c>
      <c r="D73" s="135" t="s">
        <v>134</v>
      </c>
      <c r="E73" s="247" t="str">
        <f>IFERROR(UC_DADOS!D45,0)</f>
        <v>Sem Histórico Disponível</v>
      </c>
    </row>
    <row r="74" spans="1:5" ht="15" customHeight="1" x14ac:dyDescent="0.25">
      <c r="A74" s="253" t="s">
        <v>938</v>
      </c>
      <c r="B74" s="136">
        <v>23</v>
      </c>
      <c r="C74" s="136" t="s">
        <v>116</v>
      </c>
      <c r="D74" s="135" t="s">
        <v>135</v>
      </c>
      <c r="E74" s="247" t="str">
        <f>IFERROR(UC_DADOS!D46,0)</f>
        <v>Sem Histórico Disponível</v>
      </c>
    </row>
    <row r="75" spans="1:5" ht="15" customHeight="1" x14ac:dyDescent="0.25">
      <c r="A75" s="253" t="s">
        <v>939</v>
      </c>
      <c r="B75" s="136">
        <v>23</v>
      </c>
      <c r="C75" s="136" t="s">
        <v>116</v>
      </c>
      <c r="D75" s="135" t="s">
        <v>136</v>
      </c>
      <c r="E75" s="247" t="str">
        <f>IFERROR(UC_DADOS!D47,0)</f>
        <v>Sem Histórico Disponível</v>
      </c>
    </row>
    <row r="76" spans="1:5" ht="15" customHeight="1" x14ac:dyDescent="0.25">
      <c r="A76" s="253" t="s">
        <v>940</v>
      </c>
      <c r="B76" s="136">
        <v>23</v>
      </c>
      <c r="C76" s="136" t="s">
        <v>116</v>
      </c>
      <c r="D76" s="135" t="s">
        <v>137</v>
      </c>
      <c r="E76" s="247" t="str">
        <f>IFERROR(UC_DADOS!D48,0)</f>
        <v>Sem Histórico Disponível</v>
      </c>
    </row>
    <row r="77" spans="1:5" ht="15" customHeight="1" x14ac:dyDescent="0.25">
      <c r="A77" s="253" t="s">
        <v>138</v>
      </c>
      <c r="B77" s="136">
        <v>23</v>
      </c>
      <c r="C77" s="136" t="s">
        <v>116</v>
      </c>
      <c r="D77" s="135" t="s">
        <v>139</v>
      </c>
      <c r="E77" s="247">
        <f>IFERROR(UC_DADOS!E37,0)</f>
        <v>60.57</v>
      </c>
    </row>
    <row r="78" spans="1:5" ht="15" customHeight="1" x14ac:dyDescent="0.25">
      <c r="A78" s="253" t="s">
        <v>140</v>
      </c>
      <c r="B78" s="136">
        <v>23</v>
      </c>
      <c r="C78" s="136" t="s">
        <v>116</v>
      </c>
      <c r="D78" s="135" t="s">
        <v>141</v>
      </c>
      <c r="E78" s="247">
        <f>IFERROR(UC_DADOS!E38,0)</f>
        <v>75.72</v>
      </c>
    </row>
    <row r="79" spans="1:5" ht="15" customHeight="1" x14ac:dyDescent="0.25">
      <c r="A79" s="253" t="s">
        <v>142</v>
      </c>
      <c r="B79" s="136">
        <v>23</v>
      </c>
      <c r="C79" s="136" t="s">
        <v>116</v>
      </c>
      <c r="D79" s="135" t="s">
        <v>143</v>
      </c>
      <c r="E79" s="247">
        <f>IFERROR(UC_DADOS!E39,0)</f>
        <v>92.14</v>
      </c>
    </row>
    <row r="80" spans="1:5" ht="15" customHeight="1" x14ac:dyDescent="0.25">
      <c r="A80" s="253" t="s">
        <v>144</v>
      </c>
      <c r="B80" s="136">
        <v>23</v>
      </c>
      <c r="C80" s="136" t="s">
        <v>116</v>
      </c>
      <c r="D80" s="135" t="s">
        <v>145</v>
      </c>
      <c r="E80" s="247">
        <f>IFERROR(UC_DADOS!E40,0)</f>
        <v>74.97</v>
      </c>
    </row>
    <row r="81" spans="1:5" ht="15" customHeight="1" x14ac:dyDescent="0.25">
      <c r="A81" s="253" t="s">
        <v>146</v>
      </c>
      <c r="B81" s="136">
        <v>23</v>
      </c>
      <c r="C81" s="136" t="s">
        <v>116</v>
      </c>
      <c r="D81" s="135" t="s">
        <v>147</v>
      </c>
      <c r="E81" s="247">
        <f>IFERROR(UC_DADOS!E41,0)</f>
        <v>82.05</v>
      </c>
    </row>
    <row r="82" spans="1:5" ht="15" customHeight="1" x14ac:dyDescent="0.25">
      <c r="A82" s="253" t="s">
        <v>148</v>
      </c>
      <c r="B82" s="136">
        <v>23</v>
      </c>
      <c r="C82" s="136" t="s">
        <v>116</v>
      </c>
      <c r="D82" s="135" t="s">
        <v>149</v>
      </c>
      <c r="E82" s="247">
        <f>IFERROR(UC_DADOS!E42,0)</f>
        <v>86.34</v>
      </c>
    </row>
    <row r="83" spans="1:5" ht="15" customHeight="1" x14ac:dyDescent="0.25">
      <c r="A83" s="253" t="s">
        <v>150</v>
      </c>
      <c r="B83" s="136">
        <v>23</v>
      </c>
      <c r="C83" s="136" t="s">
        <v>116</v>
      </c>
      <c r="D83" s="135" t="s">
        <v>151</v>
      </c>
      <c r="E83" s="247">
        <f>IFERROR(UC_DADOS!E43,0)</f>
        <v>50.19</v>
      </c>
    </row>
    <row r="84" spans="1:5" ht="15" customHeight="1" x14ac:dyDescent="0.25">
      <c r="A84" s="253" t="s">
        <v>152</v>
      </c>
      <c r="B84" s="136">
        <v>23</v>
      </c>
      <c r="C84" s="136" t="s">
        <v>116</v>
      </c>
      <c r="D84" s="135" t="s">
        <v>153</v>
      </c>
      <c r="E84" s="247">
        <f>IFERROR(UC_DADOS!E44,0)</f>
        <v>82.92</v>
      </c>
    </row>
    <row r="85" spans="1:5" ht="15" customHeight="1" x14ac:dyDescent="0.25">
      <c r="A85" s="253" t="s">
        <v>154</v>
      </c>
      <c r="B85" s="136">
        <v>23</v>
      </c>
      <c r="C85" s="136" t="s">
        <v>116</v>
      </c>
      <c r="D85" s="135" t="s">
        <v>155</v>
      </c>
      <c r="E85" s="247">
        <f>IFERROR(UC_DADOS!E45,0)</f>
        <v>0</v>
      </c>
    </row>
    <row r="86" spans="1:5" ht="15" customHeight="1" x14ac:dyDescent="0.25">
      <c r="A86" s="253" t="s">
        <v>156</v>
      </c>
      <c r="B86" s="136">
        <v>23</v>
      </c>
      <c r="C86" s="136" t="s">
        <v>116</v>
      </c>
      <c r="D86" s="135" t="s">
        <v>157</v>
      </c>
      <c r="E86" s="247">
        <f>IFERROR(UC_DADOS!E46,0)</f>
        <v>0</v>
      </c>
    </row>
    <row r="87" spans="1:5" ht="15" customHeight="1" x14ac:dyDescent="0.25">
      <c r="A87" s="253" t="s">
        <v>158</v>
      </c>
      <c r="B87" s="136">
        <v>23</v>
      </c>
      <c r="C87" s="136" t="s">
        <v>116</v>
      </c>
      <c r="D87" s="135" t="s">
        <v>159</v>
      </c>
      <c r="E87" s="247">
        <f>IFERROR(UC_DADOS!E47,0)</f>
        <v>0</v>
      </c>
    </row>
    <row r="88" spans="1:5" ht="15" customHeight="1" x14ac:dyDescent="0.25">
      <c r="A88" s="253" t="s">
        <v>160</v>
      </c>
      <c r="B88" s="136">
        <v>23</v>
      </c>
      <c r="C88" s="136" t="s">
        <v>116</v>
      </c>
      <c r="D88" s="135" t="s">
        <v>161</v>
      </c>
      <c r="E88" s="247">
        <f>IFERROR(UC_DADOS!E48,0)</f>
        <v>0</v>
      </c>
    </row>
    <row r="89" spans="1:5" ht="15" customHeight="1" x14ac:dyDescent="0.25">
      <c r="A89" s="253" t="s">
        <v>162</v>
      </c>
      <c r="B89" s="136">
        <v>23</v>
      </c>
      <c r="C89" s="136" t="s">
        <v>116</v>
      </c>
      <c r="D89" s="135" t="s">
        <v>163</v>
      </c>
      <c r="E89" s="247">
        <f>IFERROR(UC_DADOS!F37,0)</f>
        <v>936.03</v>
      </c>
    </row>
    <row r="90" spans="1:5" ht="15" customHeight="1" x14ac:dyDescent="0.25">
      <c r="A90" s="253" t="s">
        <v>164</v>
      </c>
      <c r="B90" s="136">
        <v>23</v>
      </c>
      <c r="C90" s="136" t="s">
        <v>116</v>
      </c>
      <c r="D90" s="135" t="s">
        <v>165</v>
      </c>
      <c r="E90" s="247">
        <f>IFERROR(UC_DADOS!F38,0)</f>
        <v>1367.76</v>
      </c>
    </row>
    <row r="91" spans="1:5" ht="15" customHeight="1" x14ac:dyDescent="0.25">
      <c r="A91" s="253" t="s">
        <v>166</v>
      </c>
      <c r="B91" s="136">
        <v>23</v>
      </c>
      <c r="C91" s="136" t="s">
        <v>116</v>
      </c>
      <c r="D91" s="135" t="s">
        <v>167</v>
      </c>
      <c r="E91" s="247">
        <f>IFERROR(UC_DADOS!F39,0)</f>
        <v>2113.14</v>
      </c>
    </row>
    <row r="92" spans="1:5" ht="15" customHeight="1" x14ac:dyDescent="0.25">
      <c r="A92" s="253" t="s">
        <v>168</v>
      </c>
      <c r="B92" s="136">
        <v>23</v>
      </c>
      <c r="C92" s="136" t="s">
        <v>116</v>
      </c>
      <c r="D92" s="135" t="s">
        <v>169</v>
      </c>
      <c r="E92" s="247">
        <f>IFERROR(UC_DADOS!F40,0)</f>
        <v>3172.17</v>
      </c>
    </row>
    <row r="93" spans="1:5" ht="15" customHeight="1" x14ac:dyDescent="0.25">
      <c r="A93" s="253" t="s">
        <v>170</v>
      </c>
      <c r="B93" s="136">
        <v>23</v>
      </c>
      <c r="C93" s="136" t="s">
        <v>116</v>
      </c>
      <c r="D93" s="135" t="s">
        <v>171</v>
      </c>
      <c r="E93" s="247">
        <f>IFERROR(UC_DADOS!F41,0)</f>
        <v>3480.9</v>
      </c>
    </row>
    <row r="94" spans="1:5" ht="15" customHeight="1" x14ac:dyDescent="0.25">
      <c r="A94" s="253" t="s">
        <v>172</v>
      </c>
      <c r="B94" s="136">
        <v>23</v>
      </c>
      <c r="C94" s="136" t="s">
        <v>116</v>
      </c>
      <c r="D94" s="135" t="s">
        <v>173</v>
      </c>
      <c r="E94" s="247">
        <f>IFERROR(UC_DADOS!F42,0)</f>
        <v>2788.41</v>
      </c>
    </row>
    <row r="95" spans="1:5" ht="15" customHeight="1" x14ac:dyDescent="0.25">
      <c r="A95" s="253" t="s">
        <v>174</v>
      </c>
      <c r="B95" s="136">
        <v>23</v>
      </c>
      <c r="C95" s="136" t="s">
        <v>116</v>
      </c>
      <c r="D95" s="135" t="s">
        <v>175</v>
      </c>
      <c r="E95" s="247">
        <f>IFERROR(UC_DADOS!F43,0)</f>
        <v>997.53</v>
      </c>
    </row>
    <row r="96" spans="1:5" ht="15" customHeight="1" x14ac:dyDescent="0.25">
      <c r="A96" s="253" t="s">
        <v>176</v>
      </c>
      <c r="B96" s="136">
        <v>23</v>
      </c>
      <c r="C96" s="136" t="s">
        <v>116</v>
      </c>
      <c r="D96" s="135" t="s">
        <v>177</v>
      </c>
      <c r="E96" s="247">
        <f>IFERROR(UC_DADOS!F44,0)</f>
        <v>3281.64</v>
      </c>
    </row>
    <row r="97" spans="1:6" ht="15" customHeight="1" x14ac:dyDescent="0.25">
      <c r="A97" s="253" t="s">
        <v>178</v>
      </c>
      <c r="B97" s="136">
        <v>23</v>
      </c>
      <c r="C97" s="136" t="s">
        <v>116</v>
      </c>
      <c r="D97" s="135" t="s">
        <v>179</v>
      </c>
      <c r="E97" s="247">
        <f>IFERROR(UC_DADOS!F45,0)</f>
        <v>0</v>
      </c>
    </row>
    <row r="98" spans="1:6" ht="15" customHeight="1" x14ac:dyDescent="0.25">
      <c r="A98" s="253" t="s">
        <v>180</v>
      </c>
      <c r="B98" s="136">
        <v>23</v>
      </c>
      <c r="C98" s="136" t="s">
        <v>116</v>
      </c>
      <c r="D98" s="135" t="s">
        <v>181</v>
      </c>
      <c r="E98" s="247">
        <f>IFERROR(UC_DADOS!F46,0)</f>
        <v>0</v>
      </c>
    </row>
    <row r="99" spans="1:6" ht="15" customHeight="1" x14ac:dyDescent="0.25">
      <c r="A99" s="253" t="s">
        <v>182</v>
      </c>
      <c r="B99" s="136">
        <v>23</v>
      </c>
      <c r="C99" s="136" t="s">
        <v>116</v>
      </c>
      <c r="D99" s="135" t="s">
        <v>183</v>
      </c>
      <c r="E99" s="247">
        <f>IFERROR(UC_DADOS!F47,0)</f>
        <v>0</v>
      </c>
    </row>
    <row r="100" spans="1:6" ht="15" customHeight="1" thickBot="1" x14ac:dyDescent="0.3">
      <c r="A100" s="253" t="s">
        <v>184</v>
      </c>
      <c r="B100" s="136">
        <v>23</v>
      </c>
      <c r="C100" s="136" t="s">
        <v>116</v>
      </c>
      <c r="D100" s="135" t="s">
        <v>185</v>
      </c>
      <c r="E100" s="247">
        <f>IFERROR(UC_DADOS!F48,0)</f>
        <v>0</v>
      </c>
    </row>
    <row r="101" spans="1:6" ht="15" customHeight="1" x14ac:dyDescent="0.25">
      <c r="A101" s="373" t="s">
        <v>186</v>
      </c>
      <c r="B101" s="374">
        <v>23</v>
      </c>
      <c r="C101" s="374" t="s">
        <v>116</v>
      </c>
      <c r="D101" s="256" t="s">
        <v>187</v>
      </c>
      <c r="E101" s="375">
        <f>IFERROR(UC_DADOS!G37,0)</f>
        <v>996.6</v>
      </c>
      <c r="F101" s="386" t="s">
        <v>261</v>
      </c>
    </row>
    <row r="102" spans="1:6" ht="15" customHeight="1" x14ac:dyDescent="0.25">
      <c r="A102" s="376" t="s">
        <v>188</v>
      </c>
      <c r="B102" s="136">
        <v>23</v>
      </c>
      <c r="C102" s="136" t="s">
        <v>116</v>
      </c>
      <c r="D102" s="135" t="s">
        <v>189</v>
      </c>
      <c r="E102" s="377">
        <f>IFERROR(UC_DADOS!G38,0)</f>
        <v>1443.48</v>
      </c>
      <c r="F102" s="387"/>
    </row>
    <row r="103" spans="1:6" ht="15" customHeight="1" x14ac:dyDescent="0.25">
      <c r="A103" s="376" t="s">
        <v>190</v>
      </c>
      <c r="B103" s="136">
        <v>23</v>
      </c>
      <c r="C103" s="136" t="s">
        <v>116</v>
      </c>
      <c r="D103" s="135" t="s">
        <v>191</v>
      </c>
      <c r="E103" s="377">
        <f>IFERROR(UC_DADOS!G39,0)</f>
        <v>2205.2799999999997</v>
      </c>
      <c r="F103" s="387"/>
    </row>
    <row r="104" spans="1:6" ht="15" customHeight="1" x14ac:dyDescent="0.25">
      <c r="A104" s="376" t="s">
        <v>192</v>
      </c>
      <c r="B104" s="136">
        <v>23</v>
      </c>
      <c r="C104" s="136" t="s">
        <v>116</v>
      </c>
      <c r="D104" s="135" t="s">
        <v>193</v>
      </c>
      <c r="E104" s="377">
        <f>IFERROR(UC_DADOS!G40,0)</f>
        <v>3247.14</v>
      </c>
      <c r="F104" s="387"/>
    </row>
    <row r="105" spans="1:6" ht="15" customHeight="1" x14ac:dyDescent="0.25">
      <c r="A105" s="376" t="s">
        <v>194</v>
      </c>
      <c r="B105" s="136">
        <v>23</v>
      </c>
      <c r="C105" s="136" t="s">
        <v>116</v>
      </c>
      <c r="D105" s="135" t="s">
        <v>195</v>
      </c>
      <c r="E105" s="377">
        <f>IFERROR(UC_DADOS!G41,0)</f>
        <v>3562.9500000000003</v>
      </c>
      <c r="F105" s="387"/>
    </row>
    <row r="106" spans="1:6" ht="15" customHeight="1" x14ac:dyDescent="0.25">
      <c r="A106" s="376" t="s">
        <v>196</v>
      </c>
      <c r="B106" s="136">
        <v>23</v>
      </c>
      <c r="C106" s="136" t="s">
        <v>116</v>
      </c>
      <c r="D106" s="135" t="s">
        <v>197</v>
      </c>
      <c r="E106" s="377">
        <f>IFERROR(UC_DADOS!G42,0)</f>
        <v>2874.75</v>
      </c>
      <c r="F106" s="387"/>
    </row>
    <row r="107" spans="1:6" ht="15" customHeight="1" x14ac:dyDescent="0.25">
      <c r="A107" s="376" t="s">
        <v>198</v>
      </c>
      <c r="B107" s="136">
        <v>23</v>
      </c>
      <c r="C107" s="136" t="s">
        <v>116</v>
      </c>
      <c r="D107" s="135" t="s">
        <v>199</v>
      </c>
      <c r="E107" s="377">
        <f>IFERROR(UC_DADOS!G43,0)</f>
        <v>1047.72</v>
      </c>
      <c r="F107" s="387"/>
    </row>
    <row r="108" spans="1:6" ht="15" customHeight="1" x14ac:dyDescent="0.25">
      <c r="A108" s="376" t="s">
        <v>200</v>
      </c>
      <c r="B108" s="136">
        <v>23</v>
      </c>
      <c r="C108" s="136" t="s">
        <v>116</v>
      </c>
      <c r="D108" s="135" t="s">
        <v>201</v>
      </c>
      <c r="E108" s="377">
        <f>IFERROR(UC_DADOS!G44,0)</f>
        <v>3364.56</v>
      </c>
      <c r="F108" s="387"/>
    </row>
    <row r="109" spans="1:6" ht="15" customHeight="1" x14ac:dyDescent="0.25">
      <c r="A109" s="376" t="s">
        <v>202</v>
      </c>
      <c r="B109" s="136">
        <v>23</v>
      </c>
      <c r="C109" s="136" t="s">
        <v>116</v>
      </c>
      <c r="D109" s="135" t="s">
        <v>203</v>
      </c>
      <c r="E109" s="377">
        <f>IFERROR(UC_DADOS!G45,0)</f>
        <v>0</v>
      </c>
      <c r="F109" s="387"/>
    </row>
    <row r="110" spans="1:6" ht="15" customHeight="1" x14ac:dyDescent="0.25">
      <c r="A110" s="376" t="s">
        <v>204</v>
      </c>
      <c r="B110" s="136">
        <v>23</v>
      </c>
      <c r="C110" s="136" t="s">
        <v>116</v>
      </c>
      <c r="D110" s="135" t="s">
        <v>205</v>
      </c>
      <c r="E110" s="377">
        <f>IFERROR(UC_DADOS!G46,0)</f>
        <v>0</v>
      </c>
      <c r="F110" s="387"/>
    </row>
    <row r="111" spans="1:6" ht="15" customHeight="1" x14ac:dyDescent="0.25">
      <c r="A111" s="376" t="s">
        <v>206</v>
      </c>
      <c r="B111" s="136">
        <v>23</v>
      </c>
      <c r="C111" s="136" t="s">
        <v>116</v>
      </c>
      <c r="D111" s="135" t="s">
        <v>207</v>
      </c>
      <c r="E111" s="377">
        <f>IFERROR(UC_DADOS!G47,0)</f>
        <v>0</v>
      </c>
      <c r="F111" s="387"/>
    </row>
    <row r="112" spans="1:6" ht="15" customHeight="1" thickBot="1" x14ac:dyDescent="0.3">
      <c r="A112" s="378" t="s">
        <v>208</v>
      </c>
      <c r="B112" s="263">
        <v>23</v>
      </c>
      <c r="C112" s="263" t="s">
        <v>116</v>
      </c>
      <c r="D112" s="261" t="s">
        <v>209</v>
      </c>
      <c r="E112" s="262">
        <f>IFERROR(UC_DADOS!G48,0)</f>
        <v>0</v>
      </c>
      <c r="F112" s="388"/>
    </row>
    <row r="113" spans="1:5" ht="15" customHeight="1" x14ac:dyDescent="0.25">
      <c r="A113" s="253" t="s">
        <v>210</v>
      </c>
      <c r="B113" s="136">
        <v>23</v>
      </c>
      <c r="C113" s="136" t="s">
        <v>116</v>
      </c>
      <c r="D113" s="135" t="s">
        <v>211</v>
      </c>
      <c r="E113" s="247">
        <f>IFERROR(UC_DADOS!H37,0)</f>
        <v>2.26525</v>
      </c>
    </row>
    <row r="114" spans="1:5" ht="15" customHeight="1" x14ac:dyDescent="0.25">
      <c r="A114" s="253" t="s">
        <v>212</v>
      </c>
      <c r="B114" s="136">
        <v>23</v>
      </c>
      <c r="C114" s="136" t="s">
        <v>116</v>
      </c>
      <c r="D114" s="135" t="s">
        <v>213</v>
      </c>
      <c r="E114" s="247">
        <f>IFERROR(UC_DADOS!H38,0)</f>
        <v>1.6194999999999999</v>
      </c>
    </row>
    <row r="115" spans="1:5" ht="15" customHeight="1" x14ac:dyDescent="0.25">
      <c r="A115" s="253" t="s">
        <v>214</v>
      </c>
      <c r="B115" s="136">
        <v>23</v>
      </c>
      <c r="C115" s="136" t="s">
        <v>116</v>
      </c>
      <c r="D115" s="135" t="s">
        <v>215</v>
      </c>
      <c r="E115" s="247">
        <f>IFERROR(UC_DADOS!H39,0)</f>
        <v>2.6034999999999999</v>
      </c>
    </row>
    <row r="116" spans="1:5" ht="15" customHeight="1" x14ac:dyDescent="0.25">
      <c r="A116" s="253" t="s">
        <v>216</v>
      </c>
      <c r="B116" s="136">
        <v>23</v>
      </c>
      <c r="C116" s="136" t="s">
        <v>116</v>
      </c>
      <c r="D116" s="135" t="s">
        <v>217</v>
      </c>
      <c r="E116" s="247">
        <f>IFERROR(UC_DADOS!H40,0)</f>
        <v>2.1627499999999995</v>
      </c>
    </row>
    <row r="117" spans="1:5" ht="15" customHeight="1" x14ac:dyDescent="0.25">
      <c r="A117" s="253" t="s">
        <v>218</v>
      </c>
      <c r="B117" s="136">
        <v>23</v>
      </c>
      <c r="C117" s="136" t="s">
        <v>116</v>
      </c>
      <c r="D117" s="135" t="s">
        <v>219</v>
      </c>
      <c r="E117" s="247">
        <f>IFERROR(UC_DADOS!H41,0)</f>
        <v>2.3574999999999995</v>
      </c>
    </row>
    <row r="118" spans="1:5" ht="15" customHeight="1" x14ac:dyDescent="0.25">
      <c r="A118" s="253" t="s">
        <v>220</v>
      </c>
      <c r="B118" s="136">
        <v>23</v>
      </c>
      <c r="C118" s="136" t="s">
        <v>116</v>
      </c>
      <c r="D118" s="135" t="s">
        <v>221</v>
      </c>
      <c r="E118" s="247">
        <f>IFERROR(UC_DADOS!H42,0)</f>
        <v>2.7572499999999995</v>
      </c>
    </row>
    <row r="119" spans="1:5" ht="15" customHeight="1" x14ac:dyDescent="0.25">
      <c r="A119" s="253" t="s">
        <v>222</v>
      </c>
      <c r="B119" s="136">
        <v>23</v>
      </c>
      <c r="C119" s="136" t="s">
        <v>116</v>
      </c>
      <c r="D119" s="135" t="s">
        <v>223</v>
      </c>
      <c r="E119" s="247">
        <f>IFERROR(UC_DADOS!H43,0)</f>
        <v>1.2299999999999998</v>
      </c>
    </row>
    <row r="120" spans="1:5" ht="15" customHeight="1" x14ac:dyDescent="0.25">
      <c r="A120" s="253" t="s">
        <v>224</v>
      </c>
      <c r="B120" s="136">
        <v>23</v>
      </c>
      <c r="C120" s="136" t="s">
        <v>116</v>
      </c>
      <c r="D120" s="135" t="s">
        <v>225</v>
      </c>
      <c r="E120" s="247">
        <f>IFERROR(UC_DADOS!H44,0)</f>
        <v>2.3574999999999995</v>
      </c>
    </row>
    <row r="121" spans="1:5" ht="15" customHeight="1" x14ac:dyDescent="0.25">
      <c r="A121" s="253" t="s">
        <v>226</v>
      </c>
      <c r="B121" s="136">
        <v>23</v>
      </c>
      <c r="C121" s="136" t="s">
        <v>116</v>
      </c>
      <c r="D121" s="135" t="s">
        <v>227</v>
      </c>
      <c r="E121" s="247">
        <f>IFERROR(UC_DADOS!H45,0)</f>
        <v>0</v>
      </c>
    </row>
    <row r="122" spans="1:5" ht="15" customHeight="1" x14ac:dyDescent="0.25">
      <c r="A122" s="253" t="s">
        <v>228</v>
      </c>
      <c r="B122" s="136">
        <v>23</v>
      </c>
      <c r="C122" s="136" t="s">
        <v>116</v>
      </c>
      <c r="D122" s="135" t="s">
        <v>229</v>
      </c>
      <c r="E122" s="247">
        <f>IFERROR(UC_DADOS!H46,0)</f>
        <v>0</v>
      </c>
    </row>
    <row r="123" spans="1:5" ht="15" customHeight="1" x14ac:dyDescent="0.25">
      <c r="A123" s="253" t="s">
        <v>230</v>
      </c>
      <c r="B123" s="136">
        <v>23</v>
      </c>
      <c r="C123" s="136" t="s">
        <v>116</v>
      </c>
      <c r="D123" s="135" t="s">
        <v>231</v>
      </c>
      <c r="E123" s="247">
        <f>IFERROR(UC_DADOS!H47,0)</f>
        <v>0</v>
      </c>
    </row>
    <row r="124" spans="1:5" ht="15" customHeight="1" x14ac:dyDescent="0.25">
      <c r="A124" s="253" t="s">
        <v>232</v>
      </c>
      <c r="B124" s="136">
        <v>23</v>
      </c>
      <c r="C124" s="136" t="s">
        <v>116</v>
      </c>
      <c r="D124" s="135" t="s">
        <v>233</v>
      </c>
      <c r="E124" s="247">
        <f>IFERROR(UC_DADOS!H48,0)</f>
        <v>0</v>
      </c>
    </row>
    <row r="125" spans="1:5" ht="15" customHeight="1" x14ac:dyDescent="0.25">
      <c r="A125" s="253" t="s">
        <v>234</v>
      </c>
      <c r="B125" s="136">
        <v>23</v>
      </c>
      <c r="C125" s="136" t="s">
        <v>116</v>
      </c>
      <c r="D125" s="135" t="s">
        <v>235</v>
      </c>
      <c r="E125" s="247">
        <f>IFERROR(UC_DADOS!I37,0)</f>
        <v>14.811249999999998</v>
      </c>
    </row>
    <row r="126" spans="1:5" ht="15" customHeight="1" x14ac:dyDescent="0.25">
      <c r="A126" s="253" t="s">
        <v>236</v>
      </c>
      <c r="B126" s="136">
        <v>23</v>
      </c>
      <c r="C126" s="136" t="s">
        <v>116</v>
      </c>
      <c r="D126" s="135" t="s">
        <v>237</v>
      </c>
      <c r="E126" s="247">
        <f>IFERROR(UC_DADOS!I38,0)</f>
        <v>26.619249999999997</v>
      </c>
    </row>
    <row r="127" spans="1:5" ht="15" customHeight="1" x14ac:dyDescent="0.25">
      <c r="A127" s="253" t="s">
        <v>238</v>
      </c>
      <c r="B127" s="136">
        <v>23</v>
      </c>
      <c r="C127" s="136" t="s">
        <v>116</v>
      </c>
      <c r="D127" s="135" t="s">
        <v>239</v>
      </c>
      <c r="E127" s="247">
        <f>IFERROR(UC_DADOS!I39,0)</f>
        <v>29.960749999999997</v>
      </c>
    </row>
    <row r="128" spans="1:5" ht="15" customHeight="1" x14ac:dyDescent="0.25">
      <c r="A128" s="253" t="s">
        <v>240</v>
      </c>
      <c r="B128" s="136">
        <v>23</v>
      </c>
      <c r="C128" s="136" t="s">
        <v>116</v>
      </c>
      <c r="D128" s="135" t="s">
        <v>241</v>
      </c>
      <c r="E128" s="247">
        <f>IFERROR(UC_DADOS!I40,0)</f>
        <v>35.229249999999993</v>
      </c>
    </row>
    <row r="129" spans="1:5" ht="15" customHeight="1" x14ac:dyDescent="0.25">
      <c r="A129" s="253" t="s">
        <v>242</v>
      </c>
      <c r="B129" s="136">
        <v>23</v>
      </c>
      <c r="C129" s="136" t="s">
        <v>116</v>
      </c>
      <c r="D129" s="135" t="s">
        <v>243</v>
      </c>
      <c r="E129" s="247">
        <f>IFERROR(UC_DADOS!I41,0)</f>
        <v>34.050499999999992</v>
      </c>
    </row>
    <row r="130" spans="1:5" ht="15" customHeight="1" x14ac:dyDescent="0.25">
      <c r="A130" s="253" t="s">
        <v>244</v>
      </c>
      <c r="B130" s="136">
        <v>23</v>
      </c>
      <c r="C130" s="136" t="s">
        <v>116</v>
      </c>
      <c r="D130" s="135" t="s">
        <v>245</v>
      </c>
      <c r="E130" s="247">
        <f>IFERROR(UC_DADOS!I42,0)</f>
        <v>34.829499999999996</v>
      </c>
    </row>
    <row r="131" spans="1:5" ht="15" customHeight="1" x14ac:dyDescent="0.25">
      <c r="A131" s="253" t="s">
        <v>246</v>
      </c>
      <c r="B131" s="136">
        <v>23</v>
      </c>
      <c r="C131" s="136" t="s">
        <v>116</v>
      </c>
      <c r="D131" s="135" t="s">
        <v>247</v>
      </c>
      <c r="E131" s="247">
        <f>IFERROR(UC_DADOS!I43,0)</f>
        <v>12.002750000000001</v>
      </c>
    </row>
    <row r="132" spans="1:5" ht="15" customHeight="1" x14ac:dyDescent="0.25">
      <c r="A132" s="253" t="s">
        <v>248</v>
      </c>
      <c r="B132" s="136">
        <v>23</v>
      </c>
      <c r="C132" s="136" t="s">
        <v>116</v>
      </c>
      <c r="D132" s="135" t="s">
        <v>249</v>
      </c>
      <c r="E132" s="247">
        <f>IFERROR(UC_DADOS!I44,0)</f>
        <v>34.931999999999995</v>
      </c>
    </row>
    <row r="133" spans="1:5" ht="15" customHeight="1" x14ac:dyDescent="0.25">
      <c r="A133" s="253" t="s">
        <v>250</v>
      </c>
      <c r="B133" s="136">
        <v>23</v>
      </c>
      <c r="C133" s="136" t="s">
        <v>116</v>
      </c>
      <c r="D133" s="135" t="s">
        <v>251</v>
      </c>
      <c r="E133" s="247">
        <f>IFERROR(UC_DADOS!I45,0)</f>
        <v>0</v>
      </c>
    </row>
    <row r="134" spans="1:5" ht="15" customHeight="1" x14ac:dyDescent="0.25">
      <c r="A134" s="253" t="s">
        <v>252</v>
      </c>
      <c r="B134" s="136">
        <v>23</v>
      </c>
      <c r="C134" s="136" t="s">
        <v>116</v>
      </c>
      <c r="D134" s="135" t="s">
        <v>253</v>
      </c>
      <c r="E134" s="247">
        <f>IFERROR(UC_DADOS!I46,0)</f>
        <v>0</v>
      </c>
    </row>
    <row r="135" spans="1:5" ht="15" customHeight="1" x14ac:dyDescent="0.25">
      <c r="A135" s="253" t="s">
        <v>254</v>
      </c>
      <c r="B135" s="136">
        <v>23</v>
      </c>
      <c r="C135" s="136" t="s">
        <v>116</v>
      </c>
      <c r="D135" s="135" t="s">
        <v>255</v>
      </c>
      <c r="E135" s="247">
        <f>IFERROR(UC_DADOS!I47,0)</f>
        <v>0</v>
      </c>
    </row>
    <row r="136" spans="1:5" ht="15" customHeight="1" x14ac:dyDescent="0.25">
      <c r="A136" s="253" t="s">
        <v>256</v>
      </c>
      <c r="B136" s="136">
        <v>23</v>
      </c>
      <c r="C136" s="136" t="s">
        <v>116</v>
      </c>
      <c r="D136" s="135" t="s">
        <v>257</v>
      </c>
      <c r="E136" s="247">
        <f>IFERROR(UC_DADOS!I48,0)</f>
        <v>0</v>
      </c>
    </row>
    <row r="137" spans="1:5" ht="15" customHeight="1" x14ac:dyDescent="0.25">
      <c r="A137" t="s">
        <v>258</v>
      </c>
      <c r="B137" s="136">
        <v>26</v>
      </c>
      <c r="C137" s="136" t="s">
        <v>259</v>
      </c>
      <c r="D137" s="135" t="s">
        <v>260</v>
      </c>
      <c r="E137" s="247" t="s">
        <v>261</v>
      </c>
    </row>
    <row r="138" spans="1:5" x14ac:dyDescent="0.25">
      <c r="A138" t="s">
        <v>262</v>
      </c>
      <c r="B138" s="136">
        <v>27</v>
      </c>
      <c r="C138" s="136" t="s">
        <v>259</v>
      </c>
      <c r="D138" s="135" t="s">
        <v>263</v>
      </c>
      <c r="E138" s="247">
        <f>IFERROR(UC_DADOS!B34,0)</f>
        <v>3562.9500000000003</v>
      </c>
    </row>
    <row r="139" spans="1:5" x14ac:dyDescent="0.25">
      <c r="A139" t="s">
        <v>264</v>
      </c>
      <c r="B139" s="136">
        <v>27</v>
      </c>
      <c r="C139" s="136" t="s">
        <v>259</v>
      </c>
      <c r="D139" s="135" t="s">
        <v>265</v>
      </c>
      <c r="E139" s="247" t="str">
        <f>IFERROR(UC_DADOS!B35,0)</f>
        <v>dez/25</v>
      </c>
    </row>
    <row r="140" spans="1:5" x14ac:dyDescent="0.25">
      <c r="A140" t="s">
        <v>266</v>
      </c>
      <c r="B140" s="136">
        <v>27</v>
      </c>
      <c r="C140" s="136" t="s">
        <v>259</v>
      </c>
      <c r="D140" s="135" t="s">
        <v>267</v>
      </c>
      <c r="E140" s="247" t="str">
        <f>IFERROR(UC_DADOS!B36,0)</f>
        <v>Sem Histórico Disponível</v>
      </c>
    </row>
    <row r="141" spans="1:5" x14ac:dyDescent="0.25">
      <c r="A141" t="s">
        <v>268</v>
      </c>
      <c r="B141" s="136">
        <v>27</v>
      </c>
      <c r="C141" s="136" t="s">
        <v>259</v>
      </c>
      <c r="D141" s="135" t="s">
        <v>103</v>
      </c>
      <c r="E141" s="247">
        <f>IFERROR(UC_DADOS!G50,0)</f>
        <v>18.74248</v>
      </c>
    </row>
    <row r="142" spans="1:5" x14ac:dyDescent="0.25">
      <c r="A142" t="s">
        <v>269</v>
      </c>
      <c r="B142" s="136">
        <v>27</v>
      </c>
      <c r="C142" s="136" t="s">
        <v>259</v>
      </c>
      <c r="D142" s="135" t="s">
        <v>270</v>
      </c>
      <c r="E142" s="247">
        <f ca="1">IFERROR(UC_DADOS!B37,0)</f>
        <v>12922.859999999999</v>
      </c>
    </row>
    <row r="143" spans="1:5" x14ac:dyDescent="0.25">
      <c r="A143" t="s">
        <v>271</v>
      </c>
      <c r="B143" s="136">
        <v>27</v>
      </c>
      <c r="C143" s="136" t="s">
        <v>259</v>
      </c>
      <c r="D143" s="135" t="s">
        <v>272</v>
      </c>
      <c r="E143" s="247">
        <f>IFERROR('Análise Econômica'!E4,0)</f>
        <v>1976.92963427423</v>
      </c>
    </row>
    <row r="144" spans="1:5" x14ac:dyDescent="0.25">
      <c r="A144" t="s">
        <v>273</v>
      </c>
      <c r="B144" s="136">
        <v>27</v>
      </c>
      <c r="C144" s="136" t="s">
        <v>259</v>
      </c>
      <c r="D144" s="135" t="s">
        <v>274</v>
      </c>
      <c r="E144" s="286" t="str">
        <f>IFERROR(TEXT(UC_DADOS!B38,"0,00"),0)</f>
        <v>0,12</v>
      </c>
    </row>
    <row r="145" spans="1:5" x14ac:dyDescent="0.25">
      <c r="A145" s="264" t="s">
        <v>275</v>
      </c>
      <c r="B145" s="136">
        <v>28</v>
      </c>
      <c r="C145" s="136" t="s">
        <v>276</v>
      </c>
      <c r="D145" s="135" t="s">
        <v>277</v>
      </c>
      <c r="E145" s="277">
        <f>IFERROR(TABELAS_RESUMO_2!D6,0)</f>
        <v>2.5949999999999998</v>
      </c>
    </row>
    <row r="146" spans="1:5" x14ac:dyDescent="0.25">
      <c r="A146" s="264" t="s">
        <v>278</v>
      </c>
      <c r="B146" s="136">
        <v>28</v>
      </c>
      <c r="C146" s="136" t="s">
        <v>276</v>
      </c>
      <c r="D146" s="135" t="s">
        <v>279</v>
      </c>
      <c r="E146" s="277">
        <f>IFERROR(TABELAS_RESUMO_2!D7,0)</f>
        <v>4.2745437500000003</v>
      </c>
    </row>
    <row r="147" spans="1:5" x14ac:dyDescent="0.25">
      <c r="A147" s="264" t="s">
        <v>280</v>
      </c>
      <c r="B147" s="136">
        <v>28</v>
      </c>
      <c r="C147" s="136" t="s">
        <v>276</v>
      </c>
      <c r="D147" s="135" t="s">
        <v>281</v>
      </c>
      <c r="E147" s="278">
        <f>IFERROR(TABELAS_RESUMO_2!D8,0)</f>
        <v>704.20601769805808</v>
      </c>
    </row>
    <row r="148" spans="1:5" x14ac:dyDescent="0.25">
      <c r="A148" s="264" t="s">
        <v>282</v>
      </c>
      <c r="B148" s="136">
        <v>28</v>
      </c>
      <c r="C148" s="136" t="s">
        <v>276</v>
      </c>
      <c r="D148" s="135" t="s">
        <v>283</v>
      </c>
      <c r="E148" s="277">
        <f>IFERROR(TABELAS_RESUMO_2!D11,0)</f>
        <v>6.5170000000000012</v>
      </c>
    </row>
    <row r="149" spans="1:5" x14ac:dyDescent="0.25">
      <c r="A149" s="264" t="s">
        <v>284</v>
      </c>
      <c r="B149" s="136">
        <v>28</v>
      </c>
      <c r="C149" s="136" t="s">
        <v>276</v>
      </c>
      <c r="D149" s="135" t="s">
        <v>285</v>
      </c>
      <c r="E149" s="277">
        <f>IFERROR(TABELAS_RESUMO_2!D12,0)</f>
        <v>8.1315674999999992</v>
      </c>
    </row>
    <row r="150" spans="1:5" x14ac:dyDescent="0.25">
      <c r="A150" s="264" t="s">
        <v>286</v>
      </c>
      <c r="B150" s="136">
        <v>28</v>
      </c>
      <c r="C150" s="136" t="s">
        <v>276</v>
      </c>
      <c r="D150" s="135" t="s">
        <v>287</v>
      </c>
      <c r="E150" s="278">
        <f>IFERROR(TABELAS_RESUMO_2!D13,0)</f>
        <v>0</v>
      </c>
    </row>
    <row r="151" spans="1:5" x14ac:dyDescent="0.25">
      <c r="A151" s="264" t="s">
        <v>288</v>
      </c>
      <c r="B151" s="136">
        <v>28</v>
      </c>
      <c r="C151" s="136" t="s">
        <v>276</v>
      </c>
      <c r="D151" s="135" t="s">
        <v>289</v>
      </c>
      <c r="E151" s="136">
        <f>IFERROR(TABELAS_RESUMO_2!D15,0)</f>
        <v>0</v>
      </c>
    </row>
    <row r="152" spans="1:5" x14ac:dyDescent="0.25">
      <c r="A152" s="264" t="s">
        <v>290</v>
      </c>
      <c r="B152" s="136">
        <v>28</v>
      </c>
      <c r="C152" s="136" t="s">
        <v>276</v>
      </c>
      <c r="D152" s="135" t="s">
        <v>291</v>
      </c>
      <c r="E152" s="136">
        <f>IFERROR(TABELAS_RESUMO_2!D16,0)</f>
        <v>0</v>
      </c>
    </row>
    <row r="153" spans="1:5" x14ac:dyDescent="0.25">
      <c r="A153" s="264" t="s">
        <v>292</v>
      </c>
      <c r="B153" s="136">
        <v>28</v>
      </c>
      <c r="C153" s="136" t="s">
        <v>276</v>
      </c>
      <c r="D153" s="135" t="s">
        <v>293</v>
      </c>
      <c r="E153" s="279">
        <f>IFERROR(TABELAS_RESUMO_2!D17,0)</f>
        <v>0</v>
      </c>
    </row>
    <row r="154" spans="1:5" x14ac:dyDescent="0.25">
      <c r="A154" s="264" t="s">
        <v>294</v>
      </c>
      <c r="B154" s="136">
        <v>28</v>
      </c>
      <c r="C154" s="136" t="s">
        <v>276</v>
      </c>
      <c r="D154" s="135" t="s">
        <v>295</v>
      </c>
      <c r="E154" s="278">
        <f>IFERROR(TABELAS_RESUMO_2!D18,0)</f>
        <v>0</v>
      </c>
    </row>
    <row r="155" spans="1:5" x14ac:dyDescent="0.25">
      <c r="A155" s="264" t="s">
        <v>296</v>
      </c>
      <c r="B155" s="136">
        <v>28</v>
      </c>
      <c r="C155" s="136" t="s">
        <v>276</v>
      </c>
      <c r="D155" s="135" t="s">
        <v>297</v>
      </c>
      <c r="E155" s="278">
        <f>IFERROR(TABELAS_RESUMO_2!D19,0)</f>
        <v>0</v>
      </c>
    </row>
    <row r="156" spans="1:5" x14ac:dyDescent="0.25">
      <c r="A156" s="265" t="s">
        <v>298</v>
      </c>
      <c r="B156" s="136">
        <v>29</v>
      </c>
      <c r="C156" s="136" t="s">
        <v>276</v>
      </c>
      <c r="D156" s="135" t="s">
        <v>299</v>
      </c>
      <c r="E156" s="277">
        <f>IFERROR(TABELAS_RESUMO_2!H6,0)</f>
        <v>0.6169</v>
      </c>
    </row>
    <row r="157" spans="1:5" x14ac:dyDescent="0.25">
      <c r="A157" s="265" t="s">
        <v>300</v>
      </c>
      <c r="B157" s="136">
        <v>29</v>
      </c>
      <c r="C157" s="136" t="s">
        <v>276</v>
      </c>
      <c r="D157" s="135" t="s">
        <v>301</v>
      </c>
      <c r="E157" s="277">
        <f>IFERROR(TABELAS_RESUMO_2!H7,0)</f>
        <v>5.3300160000000005</v>
      </c>
    </row>
    <row r="158" spans="1:5" x14ac:dyDescent="0.25">
      <c r="A158" s="265" t="s">
        <v>302</v>
      </c>
      <c r="B158" s="136">
        <v>29</v>
      </c>
      <c r="C158" s="136" t="s">
        <v>276</v>
      </c>
      <c r="D158" s="135" t="s">
        <v>303</v>
      </c>
      <c r="E158" s="278">
        <f>IFERROR(TABELAS_RESUMO_2!H8,0)</f>
        <v>878.08888179631629</v>
      </c>
    </row>
    <row r="159" spans="1:5" x14ac:dyDescent="0.25">
      <c r="A159" s="265" t="s">
        <v>304</v>
      </c>
      <c r="B159" s="136">
        <v>29</v>
      </c>
      <c r="C159" s="136" t="s">
        <v>276</v>
      </c>
      <c r="D159" s="135" t="s">
        <v>305</v>
      </c>
      <c r="E159" s="277">
        <f>IFERROR(TABELAS_RESUMO_2!H11,0)</f>
        <v>0.6079</v>
      </c>
    </row>
    <row r="160" spans="1:5" x14ac:dyDescent="0.25">
      <c r="A160" s="265" t="s">
        <v>306</v>
      </c>
      <c r="B160" s="136">
        <v>29</v>
      </c>
      <c r="C160" s="136" t="s">
        <v>276</v>
      </c>
      <c r="D160" s="135" t="s">
        <v>307</v>
      </c>
      <c r="E160" s="277">
        <f>IFERROR(TABELAS_RESUMO_2!H12,0)</f>
        <v>5.2522560000000009</v>
      </c>
    </row>
    <row r="161" spans="1:5" x14ac:dyDescent="0.25">
      <c r="A161" s="265" t="s">
        <v>308</v>
      </c>
      <c r="B161" s="136">
        <v>29</v>
      </c>
      <c r="C161" s="136" t="s">
        <v>276</v>
      </c>
      <c r="D161" s="135" t="s">
        <v>309</v>
      </c>
      <c r="E161" s="278">
        <f>IFERROR(TABELAS_RESUMO_2!H13,0)</f>
        <v>865.27837776621936</v>
      </c>
    </row>
    <row r="162" spans="1:5" x14ac:dyDescent="0.25">
      <c r="A162" s="265" t="s">
        <v>310</v>
      </c>
      <c r="B162" s="136">
        <v>29</v>
      </c>
      <c r="C162" s="136" t="s">
        <v>276</v>
      </c>
      <c r="D162" s="135" t="s">
        <v>311</v>
      </c>
      <c r="E162" s="277">
        <f>IFERROR(TABELAS_RESUMO_2!H15,0)</f>
        <v>9.000000000000008E-3</v>
      </c>
    </row>
    <row r="163" spans="1:5" x14ac:dyDescent="0.25">
      <c r="A163" s="265" t="s">
        <v>312</v>
      </c>
      <c r="B163" s="136">
        <v>29</v>
      </c>
      <c r="C163" s="136" t="s">
        <v>276</v>
      </c>
      <c r="D163" s="135" t="s">
        <v>313</v>
      </c>
      <c r="E163" s="277">
        <f>IFERROR(TABELAS_RESUMO_2!H16,0)</f>
        <v>7.7759999999999607E-2</v>
      </c>
    </row>
    <row r="164" spans="1:5" x14ac:dyDescent="0.25">
      <c r="A164" s="265" t="s">
        <v>314</v>
      </c>
      <c r="B164" s="136">
        <v>29</v>
      </c>
      <c r="C164" s="136" t="s">
        <v>276</v>
      </c>
      <c r="D164" s="135" t="s">
        <v>315</v>
      </c>
      <c r="E164" s="279">
        <f>IFERROR(TABELAS_RESUMO_2!H17,0)</f>
        <v>1.4589074404279386E-2</v>
      </c>
    </row>
    <row r="165" spans="1:5" x14ac:dyDescent="0.25">
      <c r="A165" s="265" t="s">
        <v>316</v>
      </c>
      <c r="B165" s="136">
        <v>29</v>
      </c>
      <c r="C165" s="136" t="s">
        <v>276</v>
      </c>
      <c r="D165" s="135" t="s">
        <v>317</v>
      </c>
      <c r="E165" s="278">
        <f>IFERROR(TABELAS_RESUMO_2!H18,0)</f>
        <v>12.810504030096922</v>
      </c>
    </row>
    <row r="166" spans="1:5" x14ac:dyDescent="0.25">
      <c r="A166" s="265" t="s">
        <v>318</v>
      </c>
      <c r="B166" s="136">
        <v>29</v>
      </c>
      <c r="C166" s="136" t="s">
        <v>276</v>
      </c>
      <c r="D166" s="135" t="s">
        <v>319</v>
      </c>
      <c r="E166" s="278">
        <f>IFERROR(TABELAS_RESUMO_2!H19,0)</f>
        <v>0</v>
      </c>
    </row>
    <row r="167" spans="1:5" x14ac:dyDescent="0.25">
      <c r="A167" s="253" t="s">
        <v>320</v>
      </c>
      <c r="B167" s="136">
        <v>29</v>
      </c>
      <c r="C167" s="136" t="s">
        <v>276</v>
      </c>
      <c r="D167" s="135" t="s">
        <v>321</v>
      </c>
      <c r="E167" s="277">
        <f>IFERROR(TABELAS_RESUMO_2!D26,0)</f>
        <v>22.949890909090907</v>
      </c>
    </row>
    <row r="168" spans="1:5" x14ac:dyDescent="0.25">
      <c r="A168" s="253" t="s">
        <v>322</v>
      </c>
      <c r="B168" s="136">
        <v>29</v>
      </c>
      <c r="C168" s="136" t="s">
        <v>276</v>
      </c>
      <c r="D168" s="135" t="s">
        <v>323</v>
      </c>
      <c r="E168" s="277">
        <f>IFERROR(TABELAS_RESUMO_2!D27,0)</f>
        <v>38.194307999999999</v>
      </c>
    </row>
    <row r="169" spans="1:5" x14ac:dyDescent="0.25">
      <c r="A169" s="253" t="s">
        <v>324</v>
      </c>
      <c r="B169" s="136">
        <v>29</v>
      </c>
      <c r="C169" s="136" t="s">
        <v>276</v>
      </c>
      <c r="D169" s="135" t="s">
        <v>325</v>
      </c>
      <c r="E169" s="278">
        <f>IFERROR(TABELAS_RESUMO_2!D28,0)</f>
        <v>6292.2882788164416</v>
      </c>
    </row>
    <row r="170" spans="1:5" x14ac:dyDescent="0.25">
      <c r="A170" s="253" t="s">
        <v>326</v>
      </c>
      <c r="B170" s="136">
        <v>29</v>
      </c>
      <c r="C170" s="136" t="s">
        <v>276</v>
      </c>
      <c r="D170" s="135" t="s">
        <v>327</v>
      </c>
      <c r="E170" s="277">
        <f>IFERROR(TABELAS_RESUMO_2!D31,0)</f>
        <v>21.323211391018617</v>
      </c>
    </row>
    <row r="171" spans="1:5" x14ac:dyDescent="0.25">
      <c r="A171" s="253" t="s">
        <v>328</v>
      </c>
      <c r="B171" s="136">
        <v>29</v>
      </c>
      <c r="C171" s="136" t="s">
        <v>276</v>
      </c>
      <c r="D171" s="135" t="s">
        <v>329</v>
      </c>
      <c r="E171" s="277">
        <f>IFERROR(TABELAS_RESUMO_2!D32,0)</f>
        <v>35.705488337349394</v>
      </c>
    </row>
    <row r="172" spans="1:5" x14ac:dyDescent="0.25">
      <c r="A172" s="253" t="s">
        <v>330</v>
      </c>
      <c r="B172" s="136">
        <v>29</v>
      </c>
      <c r="C172" s="136" t="s">
        <v>276</v>
      </c>
      <c r="D172" s="135" t="s">
        <v>331</v>
      </c>
      <c r="E172" s="277">
        <f>IFERROR(TABELAS_RESUMO_2!D33,0)</f>
        <v>5882.2698333615772</v>
      </c>
    </row>
    <row r="173" spans="1:5" x14ac:dyDescent="0.25">
      <c r="A173" s="253" t="s">
        <v>332</v>
      </c>
      <c r="B173" s="136">
        <v>29</v>
      </c>
      <c r="C173" s="136" t="s">
        <v>276</v>
      </c>
      <c r="D173" s="135" t="s">
        <v>333</v>
      </c>
      <c r="E173" s="277">
        <f>IFERROR(TABELAS_RESUMO_2!D35,0)</f>
        <v>1.6266795180722902</v>
      </c>
    </row>
    <row r="174" spans="1:5" x14ac:dyDescent="0.25">
      <c r="A174" s="253" t="s">
        <v>334</v>
      </c>
      <c r="B174" s="136">
        <v>29</v>
      </c>
      <c r="C174" s="136" t="s">
        <v>276</v>
      </c>
      <c r="D174" s="135" t="s">
        <v>335</v>
      </c>
      <c r="E174" s="277">
        <f>IFERROR(TABELAS_RESUMO_2!D36,0)</f>
        <v>2.4888196626506058</v>
      </c>
    </row>
    <row r="175" spans="1:5" x14ac:dyDescent="0.25">
      <c r="A175" s="253" t="s">
        <v>336</v>
      </c>
      <c r="B175" s="136">
        <v>29</v>
      </c>
      <c r="C175" s="136" t="s">
        <v>276</v>
      </c>
      <c r="D175" s="135" t="s">
        <v>337</v>
      </c>
      <c r="E175" s="277">
        <f>IFERROR(TABELAS_RESUMO_2!D37,0)</f>
        <v>6.5162056677413968E-2</v>
      </c>
    </row>
    <row r="176" spans="1:5" x14ac:dyDescent="0.25">
      <c r="A176" s="253" t="s">
        <v>338</v>
      </c>
      <c r="B176" s="136">
        <v>29</v>
      </c>
      <c r="C176" s="136" t="s">
        <v>276</v>
      </c>
      <c r="D176" s="135" t="s">
        <v>339</v>
      </c>
      <c r="E176" s="277">
        <f>IFERROR(TABELAS_RESUMO_2!D38,0)</f>
        <v>410.01844545486438</v>
      </c>
    </row>
    <row r="177" spans="1:5" x14ac:dyDescent="0.25">
      <c r="A177" s="253" t="s">
        <v>340</v>
      </c>
      <c r="B177" s="136">
        <v>29</v>
      </c>
      <c r="C177" s="136" t="s">
        <v>276</v>
      </c>
      <c r="D177" s="135" t="s">
        <v>341</v>
      </c>
      <c r="E177" s="277">
        <f>IFERROR(TABELAS_RESUMO_2!D39,0)</f>
        <v>17182</v>
      </c>
    </row>
    <row r="178" spans="1:5" x14ac:dyDescent="0.25">
      <c r="A178" s="275" t="s">
        <v>342</v>
      </c>
      <c r="B178" s="136">
        <v>30</v>
      </c>
      <c r="C178" s="136" t="s">
        <v>276</v>
      </c>
      <c r="D178" s="135" t="s">
        <v>343</v>
      </c>
      <c r="E178" s="277">
        <f>IFERROR(TABELAS_RESUMO_2!D66,0)</f>
        <v>22.949890909090907</v>
      </c>
    </row>
    <row r="179" spans="1:5" x14ac:dyDescent="0.25">
      <c r="A179" s="275" t="s">
        <v>344</v>
      </c>
      <c r="B179" s="136">
        <v>30</v>
      </c>
      <c r="C179" s="136" t="s">
        <v>276</v>
      </c>
      <c r="D179" s="135" t="s">
        <v>345</v>
      </c>
      <c r="E179" s="277">
        <f>IFERROR(TABELAS_RESUMO_2!D67,0)</f>
        <v>38.194307999999999</v>
      </c>
    </row>
    <row r="180" spans="1:5" x14ac:dyDescent="0.25">
      <c r="A180" s="275" t="s">
        <v>346</v>
      </c>
      <c r="B180" s="136">
        <v>30</v>
      </c>
      <c r="C180" s="136" t="s">
        <v>276</v>
      </c>
      <c r="D180" s="135" t="s">
        <v>347</v>
      </c>
      <c r="E180" s="277">
        <f>IFERROR(TABELAS_RESUMO_2!D68,0)</f>
        <v>6292.2882788164416</v>
      </c>
    </row>
    <row r="181" spans="1:5" x14ac:dyDescent="0.25">
      <c r="A181" s="275" t="s">
        <v>348</v>
      </c>
      <c r="B181" s="136">
        <v>30</v>
      </c>
      <c r="C181" s="136" t="s">
        <v>276</v>
      </c>
      <c r="D181" s="135" t="s">
        <v>349</v>
      </c>
      <c r="E181" s="277">
        <f>IFERROR(TABELAS_RESUMO_2!D71,0)</f>
        <v>22.949890909090907</v>
      </c>
    </row>
    <row r="182" spans="1:5" x14ac:dyDescent="0.25">
      <c r="A182" s="275" t="s">
        <v>350</v>
      </c>
      <c r="B182" s="136">
        <v>30</v>
      </c>
      <c r="C182" s="136" t="s">
        <v>276</v>
      </c>
      <c r="D182" s="135" t="s">
        <v>351</v>
      </c>
      <c r="E182" s="277">
        <f>IFERROR(TABELAS_RESUMO_2!D72,0)</f>
        <v>34.3748772</v>
      </c>
    </row>
    <row r="183" spans="1:5" x14ac:dyDescent="0.25">
      <c r="A183" s="275" t="s">
        <v>352</v>
      </c>
      <c r="B183" s="136">
        <v>30</v>
      </c>
      <c r="C183" s="136" t="s">
        <v>276</v>
      </c>
      <c r="D183" s="135" t="s">
        <v>353</v>
      </c>
      <c r="E183" s="277">
        <f>IFERROR(TABELAS_RESUMO_2!D73,0)</f>
        <v>5663.0594509347975</v>
      </c>
    </row>
    <row r="184" spans="1:5" x14ac:dyDescent="0.25">
      <c r="A184" s="275" t="s">
        <v>354</v>
      </c>
      <c r="B184" s="136">
        <v>30</v>
      </c>
      <c r="C184" s="136" t="s">
        <v>276</v>
      </c>
      <c r="D184" s="135" t="s">
        <v>355</v>
      </c>
      <c r="E184" s="277">
        <f>IFERROR(TABELAS_RESUMO_2!D75,0)</f>
        <v>0</v>
      </c>
    </row>
    <row r="185" spans="1:5" x14ac:dyDescent="0.25">
      <c r="A185" s="275" t="s">
        <v>356</v>
      </c>
      <c r="B185" s="136">
        <v>30</v>
      </c>
      <c r="C185" s="136" t="s">
        <v>276</v>
      </c>
      <c r="D185" s="135" t="s">
        <v>357</v>
      </c>
      <c r="E185" s="277">
        <f>IFERROR(TABELAS_RESUMO_2!D76,0)</f>
        <v>3.8194307999999992</v>
      </c>
    </row>
    <row r="186" spans="1:5" x14ac:dyDescent="0.25">
      <c r="A186" s="275" t="s">
        <v>358</v>
      </c>
      <c r="B186" s="136">
        <v>30</v>
      </c>
      <c r="C186" s="136" t="s">
        <v>276</v>
      </c>
      <c r="D186" s="135" t="s">
        <v>359</v>
      </c>
      <c r="E186" s="277">
        <f>IFERROR(TABELAS_RESUMO_2!D77,0)</f>
        <v>9.9999999999999978E-2</v>
      </c>
    </row>
    <row r="187" spans="1:5" x14ac:dyDescent="0.25">
      <c r="A187" s="275" t="s">
        <v>360</v>
      </c>
      <c r="B187" s="136">
        <v>30</v>
      </c>
      <c r="C187" s="136" t="s">
        <v>276</v>
      </c>
      <c r="D187" s="135" t="s">
        <v>361</v>
      </c>
      <c r="E187" s="277">
        <f>IFERROR(TABELAS_RESUMO_2!D78,0)</f>
        <v>629.22882788164407</v>
      </c>
    </row>
    <row r="188" spans="1:5" x14ac:dyDescent="0.25">
      <c r="A188" s="275" t="s">
        <v>362</v>
      </c>
      <c r="B188" s="136">
        <v>30</v>
      </c>
      <c r="C188" s="136" t="s">
        <v>276</v>
      </c>
      <c r="D188" s="135" t="s">
        <v>363</v>
      </c>
      <c r="E188" s="277">
        <f>IFERROR(TABELAS_RESUMO_2!D79,0)</f>
        <v>28247.300000000007</v>
      </c>
    </row>
    <row r="189" spans="1:5" x14ac:dyDescent="0.25">
      <c r="A189" s="276" t="s">
        <v>364</v>
      </c>
      <c r="B189" s="136">
        <v>30</v>
      </c>
      <c r="C189" s="136" t="s">
        <v>276</v>
      </c>
      <c r="D189" s="135" t="s">
        <v>365</v>
      </c>
      <c r="E189" s="277">
        <f>IFERROR(TABELAS_RESUMO_2!D46,0)</f>
        <v>22.949890909090907</v>
      </c>
    </row>
    <row r="190" spans="1:5" x14ac:dyDescent="0.25">
      <c r="A190" s="276" t="s">
        <v>366</v>
      </c>
      <c r="B190" s="136">
        <v>30</v>
      </c>
      <c r="C190" s="136" t="s">
        <v>276</v>
      </c>
      <c r="D190" s="135" t="s">
        <v>367</v>
      </c>
      <c r="E190" s="277">
        <f>IFERROR(TABELAS_RESUMO_2!D47,0)</f>
        <v>38.194307999999999</v>
      </c>
    </row>
    <row r="191" spans="1:5" x14ac:dyDescent="0.25">
      <c r="A191" s="276" t="s">
        <v>368</v>
      </c>
      <c r="B191" s="136">
        <v>30</v>
      </c>
      <c r="C191" s="136" t="s">
        <v>276</v>
      </c>
      <c r="D191" s="135" t="s">
        <v>369</v>
      </c>
      <c r="E191" s="277">
        <f>IFERROR(TABELAS_RESUMO_2!D48,0)</f>
        <v>6292.2882788164416</v>
      </c>
    </row>
    <row r="192" spans="1:5" x14ac:dyDescent="0.25">
      <c r="A192" s="276" t="s">
        <v>370</v>
      </c>
      <c r="B192" s="136">
        <v>30</v>
      </c>
      <c r="C192" s="136" t="s">
        <v>276</v>
      </c>
      <c r="D192" s="135" t="s">
        <v>371</v>
      </c>
      <c r="E192" s="277">
        <f>IFERROR(TABELAS_RESUMO_2!D51,0)</f>
        <v>21.323211391018617</v>
      </c>
    </row>
    <row r="193" spans="1:5" x14ac:dyDescent="0.25">
      <c r="A193" s="276" t="s">
        <v>372</v>
      </c>
      <c r="B193" s="136">
        <v>30</v>
      </c>
      <c r="C193" s="136" t="s">
        <v>276</v>
      </c>
      <c r="D193" s="135" t="s">
        <v>373</v>
      </c>
      <c r="E193" s="277">
        <f>IFERROR(TABELAS_RESUMO_2!D52,0)</f>
        <v>32.134939503614461</v>
      </c>
    </row>
    <row r="194" spans="1:5" x14ac:dyDescent="0.25">
      <c r="A194" s="276" t="s">
        <v>374</v>
      </c>
      <c r="B194" s="136">
        <v>30</v>
      </c>
      <c r="C194" s="136" t="s">
        <v>276</v>
      </c>
      <c r="D194" s="135" t="s">
        <v>375</v>
      </c>
      <c r="E194" s="277">
        <f>IFERROR(TABELAS_RESUMO_2!D53,0)</f>
        <v>5294.0428500254202</v>
      </c>
    </row>
    <row r="195" spans="1:5" x14ac:dyDescent="0.25">
      <c r="A195" s="276" t="s">
        <v>376</v>
      </c>
      <c r="B195" s="136">
        <v>30</v>
      </c>
      <c r="C195" s="136" t="s">
        <v>276</v>
      </c>
      <c r="D195" s="135" t="s">
        <v>377</v>
      </c>
      <c r="E195" s="277">
        <f>IFERROR(TABELAS_RESUMO_2!D55,0)</f>
        <v>1.6266795180722902</v>
      </c>
    </row>
    <row r="196" spans="1:5" x14ac:dyDescent="0.25">
      <c r="A196" s="276" t="s">
        <v>378</v>
      </c>
      <c r="B196" s="136">
        <v>30</v>
      </c>
      <c r="C196" s="136" t="s">
        <v>276</v>
      </c>
      <c r="D196" s="135" t="s">
        <v>379</v>
      </c>
      <c r="E196" s="277">
        <f>IFERROR(TABELAS_RESUMO_2!D56,0)</f>
        <v>6.0593684963855381</v>
      </c>
    </row>
    <row r="197" spans="1:5" x14ac:dyDescent="0.25">
      <c r="A197" s="276" t="s">
        <v>380</v>
      </c>
      <c r="B197" s="136">
        <v>30</v>
      </c>
      <c r="C197" s="136" t="s">
        <v>276</v>
      </c>
      <c r="D197" s="135" t="s">
        <v>381</v>
      </c>
      <c r="E197" s="277">
        <f>IFERROR(TABELAS_RESUMO_2!D57,0)</f>
        <v>0.15864585100967238</v>
      </c>
    </row>
    <row r="198" spans="1:5" x14ac:dyDescent="0.25">
      <c r="A198" s="276" t="s">
        <v>382</v>
      </c>
      <c r="B198" s="136">
        <v>30</v>
      </c>
      <c r="C198" s="136" t="s">
        <v>276</v>
      </c>
      <c r="D198" s="135" t="s">
        <v>383</v>
      </c>
      <c r="E198" s="277">
        <f>IFERROR(TABELAS_RESUMO_2!D58,0)</f>
        <v>998.24542879102137</v>
      </c>
    </row>
    <row r="199" spans="1:5" x14ac:dyDescent="0.25">
      <c r="A199" s="276" t="s">
        <v>384</v>
      </c>
      <c r="B199" s="136">
        <v>30</v>
      </c>
      <c r="C199" s="136" t="s">
        <v>276</v>
      </c>
      <c r="D199" s="135" t="s">
        <v>385</v>
      </c>
      <c r="E199" s="277">
        <f>IFERROR(TABELAS_RESUMO_2!D59,0)</f>
        <v>22857.3</v>
      </c>
    </row>
    <row r="200" spans="1:5" x14ac:dyDescent="0.25">
      <c r="A200" s="280" t="s">
        <v>32</v>
      </c>
      <c r="B200" s="136">
        <v>31</v>
      </c>
      <c r="C200" s="136" t="s">
        <v>276</v>
      </c>
      <c r="D200" s="135" t="s">
        <v>386</v>
      </c>
      <c r="E200" t="str">
        <f>IFERROR(TABELAS_RESUMO!B2,0)</f>
        <v>Substituição por LED e sensores de presença</v>
      </c>
    </row>
    <row r="201" spans="1:5" x14ac:dyDescent="0.25">
      <c r="A201" s="280" t="s">
        <v>35</v>
      </c>
      <c r="B201" s="136">
        <v>31</v>
      </c>
      <c r="C201" s="136" t="s">
        <v>276</v>
      </c>
      <c r="D201" s="135" t="s">
        <v>387</v>
      </c>
      <c r="E201" t="str">
        <f>IFERROR(TABELAS_RESUMO!B3,0)</f>
        <v>Troca de aparelhos de ar-condicionado e automação</v>
      </c>
    </row>
    <row r="202" spans="1:5" x14ac:dyDescent="0.25">
      <c r="A202" s="280" t="s">
        <v>37</v>
      </c>
      <c r="B202" s="136">
        <v>31</v>
      </c>
      <c r="C202" s="136" t="s">
        <v>276</v>
      </c>
      <c r="D202" s="135" t="s">
        <v>388</v>
      </c>
      <c r="E202" t="str">
        <f>IFERROR(TABELAS_RESUMO!B4,0)</f>
        <v>Substituição por motores de alto rendimento</v>
      </c>
    </row>
    <row r="203" spans="1:5" x14ac:dyDescent="0.25">
      <c r="A203" s="280" t="s">
        <v>39</v>
      </c>
      <c r="B203" s="136">
        <v>31</v>
      </c>
      <c r="C203" s="136" t="s">
        <v>276</v>
      </c>
      <c r="D203" s="135" t="s">
        <v>389</v>
      </c>
      <c r="E203" t="str">
        <f>IFERROR(TABELAS_RESUMO!B5,0)</f>
        <v>Substituição de equipamentos antigos</v>
      </c>
    </row>
    <row r="204" spans="1:5" x14ac:dyDescent="0.25">
      <c r="A204" s="280" t="s">
        <v>390</v>
      </c>
      <c r="B204" s="136">
        <v>31</v>
      </c>
      <c r="C204" s="136" t="s">
        <v>276</v>
      </c>
      <c r="D204" s="135" t="s">
        <v>391</v>
      </c>
      <c r="E204" t="str">
        <f>IFERROR(TABELAS_RESUMO!B6,0)</f>
        <v>Instalação de sistema solar térmico</v>
      </c>
    </row>
    <row r="205" spans="1:5" x14ac:dyDescent="0.25">
      <c r="A205" s="280" t="s">
        <v>41</v>
      </c>
      <c r="B205" s="136">
        <v>31</v>
      </c>
      <c r="C205" s="136" t="s">
        <v>276</v>
      </c>
      <c r="D205" s="135" t="s">
        <v>392</v>
      </c>
      <c r="E205" t="str">
        <f>IFERROR(TABELAS_RESUMO!B7,0)</f>
        <v>Implantação de sistema de geração distribuída</v>
      </c>
    </row>
    <row r="206" spans="1:5" x14ac:dyDescent="0.25">
      <c r="A206" s="137" t="s">
        <v>43</v>
      </c>
      <c r="B206" s="136">
        <v>31</v>
      </c>
      <c r="C206" s="136" t="s">
        <v>276</v>
      </c>
      <c r="D206" s="135" t="s">
        <v>393</v>
      </c>
      <c r="E206" s="136">
        <f>IFERROR(TABELAS_RESUMO!C2,0)</f>
        <v>0</v>
      </c>
    </row>
    <row r="207" spans="1:5" x14ac:dyDescent="0.25">
      <c r="A207" s="137" t="s">
        <v>45</v>
      </c>
      <c r="B207" s="136">
        <v>31</v>
      </c>
      <c r="C207" s="136" t="s">
        <v>276</v>
      </c>
      <c r="D207" s="135" t="s">
        <v>394</v>
      </c>
      <c r="E207" s="136">
        <f>IFERROR(TABELAS_RESUMO!C3,0)</f>
        <v>0</v>
      </c>
    </row>
    <row r="208" spans="1:5" x14ac:dyDescent="0.25">
      <c r="A208" s="137" t="s">
        <v>47</v>
      </c>
      <c r="B208" s="136">
        <v>31</v>
      </c>
      <c r="C208" s="136" t="s">
        <v>276</v>
      </c>
      <c r="D208" s="135" t="s">
        <v>395</v>
      </c>
      <c r="E208" s="136">
        <f>IFERROR(TABELAS_RESUMO!C4,0)</f>
        <v>0</v>
      </c>
    </row>
    <row r="209" spans="1:5" x14ac:dyDescent="0.25">
      <c r="A209" s="137" t="s">
        <v>49</v>
      </c>
      <c r="B209" s="136">
        <v>31</v>
      </c>
      <c r="C209" s="136" t="s">
        <v>276</v>
      </c>
      <c r="D209" s="135" t="s">
        <v>396</v>
      </c>
      <c r="E209" s="136">
        <f>IFERROR(TABELAS_RESUMO!C5,0)</f>
        <v>0</v>
      </c>
    </row>
    <row r="210" spans="1:5" x14ac:dyDescent="0.25">
      <c r="A210" s="137" t="s">
        <v>397</v>
      </c>
      <c r="B210" s="136">
        <v>31</v>
      </c>
      <c r="C210" s="136" t="s">
        <v>276</v>
      </c>
      <c r="D210" s="135" t="s">
        <v>398</v>
      </c>
      <c r="E210" s="136">
        <f>IFERROR(TABELAS_RESUMO!C6,0)</f>
        <v>0</v>
      </c>
    </row>
    <row r="211" spans="1:5" x14ac:dyDescent="0.25">
      <c r="A211" s="137" t="s">
        <v>51</v>
      </c>
      <c r="B211" s="136">
        <v>31</v>
      </c>
      <c r="C211" s="136" t="s">
        <v>276</v>
      </c>
      <c r="D211" s="135" t="s">
        <v>399</v>
      </c>
      <c r="E211" s="136">
        <f>IFERROR(TABELAS_RESUMO!C7,0)</f>
        <v>0</v>
      </c>
    </row>
    <row r="212" spans="1:5" x14ac:dyDescent="0.25">
      <c r="A212" s="280" t="s">
        <v>400</v>
      </c>
      <c r="B212" s="136">
        <v>31</v>
      </c>
      <c r="C212" s="136" t="s">
        <v>276</v>
      </c>
      <c r="D212" s="135" t="s">
        <v>401</v>
      </c>
      <c r="E212" s="136">
        <f>IFERROR(TABELAS_RESUMO!D2,0)</f>
        <v>0</v>
      </c>
    </row>
    <row r="213" spans="1:5" x14ac:dyDescent="0.25">
      <c r="A213" s="280" t="s">
        <v>402</v>
      </c>
      <c r="B213" s="136">
        <v>31</v>
      </c>
      <c r="C213" s="136" t="s">
        <v>276</v>
      </c>
      <c r="D213" s="135" t="s">
        <v>403</v>
      </c>
      <c r="E213" s="136">
        <f>IFERROR(TABELAS_RESUMO!D3,0)</f>
        <v>0</v>
      </c>
    </row>
    <row r="214" spans="1:5" x14ac:dyDescent="0.25">
      <c r="A214" s="280" t="s">
        <v>404</v>
      </c>
      <c r="B214" s="136">
        <v>31</v>
      </c>
      <c r="C214" s="136" t="s">
        <v>276</v>
      </c>
      <c r="D214" s="135" t="s">
        <v>405</v>
      </c>
      <c r="E214" s="136">
        <f>IFERROR(TABELAS_RESUMO!D4,0)</f>
        <v>0</v>
      </c>
    </row>
    <row r="215" spans="1:5" x14ac:dyDescent="0.25">
      <c r="A215" s="280" t="s">
        <v>406</v>
      </c>
      <c r="B215" s="136">
        <v>31</v>
      </c>
      <c r="C215" s="136" t="s">
        <v>276</v>
      </c>
      <c r="D215" s="135" t="s">
        <v>407</v>
      </c>
      <c r="E215" s="136">
        <f>IFERROR(TABELAS_RESUMO!D5,0)</f>
        <v>0</v>
      </c>
    </row>
    <row r="216" spans="1:5" x14ac:dyDescent="0.25">
      <c r="A216" s="280" t="s">
        <v>408</v>
      </c>
      <c r="B216" s="136">
        <v>31</v>
      </c>
      <c r="C216" s="136" t="s">
        <v>276</v>
      </c>
      <c r="D216" s="135" t="s">
        <v>409</v>
      </c>
      <c r="E216" s="136">
        <f>IFERROR(TABELAS_RESUMO!D6,0)</f>
        <v>0</v>
      </c>
    </row>
    <row r="217" spans="1:5" x14ac:dyDescent="0.25">
      <c r="A217" s="280" t="s">
        <v>410</v>
      </c>
      <c r="B217" s="136">
        <v>31</v>
      </c>
      <c r="C217" s="136" t="s">
        <v>276</v>
      </c>
      <c r="D217" s="135" t="s">
        <v>411</v>
      </c>
      <c r="E217" s="136">
        <f>IFERROR(TABELAS_RESUMO!D7,0)</f>
        <v>0</v>
      </c>
    </row>
    <row r="218" spans="1:5" x14ac:dyDescent="0.25">
      <c r="A218" s="280" t="s">
        <v>412</v>
      </c>
      <c r="B218" s="136">
        <v>31</v>
      </c>
      <c r="C218" s="136" t="s">
        <v>276</v>
      </c>
      <c r="D218" s="135" t="s">
        <v>413</v>
      </c>
      <c r="E218" s="136">
        <f>IFERROR(TABELAS_RESUMO!E2,0)</f>
        <v>0</v>
      </c>
    </row>
    <row r="219" spans="1:5" x14ac:dyDescent="0.25">
      <c r="A219" s="280" t="s">
        <v>414</v>
      </c>
      <c r="B219" s="136">
        <v>31</v>
      </c>
      <c r="C219" s="136" t="s">
        <v>276</v>
      </c>
      <c r="D219" s="135" t="s">
        <v>415</v>
      </c>
      <c r="E219" s="136">
        <f>IFERROR(TABELAS_RESUMO!E3,0)</f>
        <v>0</v>
      </c>
    </row>
    <row r="220" spans="1:5" x14ac:dyDescent="0.25">
      <c r="A220" s="280" t="s">
        <v>416</v>
      </c>
      <c r="B220" s="136">
        <v>31</v>
      </c>
      <c r="C220" s="136" t="s">
        <v>276</v>
      </c>
      <c r="D220" s="135" t="s">
        <v>417</v>
      </c>
      <c r="E220" s="136">
        <f>IFERROR(TABELAS_RESUMO!E4,0)</f>
        <v>0</v>
      </c>
    </row>
    <row r="221" spans="1:5" x14ac:dyDescent="0.25">
      <c r="A221" s="280" t="s">
        <v>418</v>
      </c>
      <c r="B221" s="136">
        <v>31</v>
      </c>
      <c r="C221" s="136" t="s">
        <v>276</v>
      </c>
      <c r="D221" s="135" t="s">
        <v>419</v>
      </c>
      <c r="E221" s="136">
        <f>IFERROR(TABELAS_RESUMO!E5,0)</f>
        <v>0</v>
      </c>
    </row>
    <row r="222" spans="1:5" x14ac:dyDescent="0.25">
      <c r="A222" s="280" t="s">
        <v>420</v>
      </c>
      <c r="B222" s="136">
        <v>31</v>
      </c>
      <c r="C222" s="136" t="s">
        <v>276</v>
      </c>
      <c r="D222" s="135" t="s">
        <v>421</v>
      </c>
      <c r="E222" s="136">
        <f>IFERROR(TABELAS_RESUMO!E6,0)</f>
        <v>0</v>
      </c>
    </row>
    <row r="223" spans="1:5" x14ac:dyDescent="0.25">
      <c r="A223" s="280" t="s">
        <v>422</v>
      </c>
      <c r="B223" s="136">
        <v>31</v>
      </c>
      <c r="C223" s="136" t="s">
        <v>276</v>
      </c>
      <c r="D223" s="135" t="s">
        <v>423</v>
      </c>
      <c r="E223" s="136">
        <f>IFERROR(TABELAS_RESUMO!E7,0)</f>
        <v>0</v>
      </c>
    </row>
    <row r="224" spans="1:5" x14ac:dyDescent="0.25">
      <c r="A224" s="280" t="s">
        <v>424</v>
      </c>
      <c r="B224" s="136">
        <v>31</v>
      </c>
      <c r="C224" s="136" t="s">
        <v>276</v>
      </c>
      <c r="D224" s="135" t="s">
        <v>425</v>
      </c>
      <c r="E224" s="136">
        <f>IFERROR(TABELAS_RESUMO!F2,0)</f>
        <v>0</v>
      </c>
    </row>
    <row r="225" spans="1:5" x14ac:dyDescent="0.25">
      <c r="A225" s="280" t="s">
        <v>426</v>
      </c>
      <c r="B225" s="136">
        <v>31</v>
      </c>
      <c r="C225" s="136" t="s">
        <v>276</v>
      </c>
      <c r="D225" s="135" t="s">
        <v>427</v>
      </c>
      <c r="E225" s="136">
        <f>IFERROR(TABELAS_RESUMO!F3,0)</f>
        <v>0</v>
      </c>
    </row>
    <row r="226" spans="1:5" x14ac:dyDescent="0.25">
      <c r="A226" s="280" t="s">
        <v>428</v>
      </c>
      <c r="B226" s="136">
        <v>31</v>
      </c>
      <c r="C226" s="136" t="s">
        <v>276</v>
      </c>
      <c r="D226" s="135" t="s">
        <v>429</v>
      </c>
      <c r="E226" s="136">
        <f>IFERROR(TABELAS_RESUMO!F4,0)</f>
        <v>0</v>
      </c>
    </row>
    <row r="227" spans="1:5" x14ac:dyDescent="0.25">
      <c r="A227" s="280" t="s">
        <v>430</v>
      </c>
      <c r="B227" s="136">
        <v>31</v>
      </c>
      <c r="C227" s="136" t="s">
        <v>276</v>
      </c>
      <c r="D227" s="135" t="s">
        <v>431</v>
      </c>
      <c r="E227" s="136">
        <f>IFERROR(TABELAS_RESUMO!F5,0)</f>
        <v>0</v>
      </c>
    </row>
    <row r="228" spans="1:5" x14ac:dyDescent="0.25">
      <c r="A228" s="280" t="s">
        <v>432</v>
      </c>
      <c r="B228" s="136">
        <v>31</v>
      </c>
      <c r="C228" s="136" t="s">
        <v>276</v>
      </c>
      <c r="D228" s="135" t="s">
        <v>433</v>
      </c>
      <c r="E228" s="136">
        <f>IFERROR(TABELAS_RESUMO!F6,0)</f>
        <v>0</v>
      </c>
    </row>
    <row r="229" spans="1:5" x14ac:dyDescent="0.25">
      <c r="A229" s="280" t="s">
        <v>434</v>
      </c>
      <c r="B229" s="136">
        <v>31</v>
      </c>
      <c r="C229" s="136" t="s">
        <v>276</v>
      </c>
      <c r="D229" s="135" t="s">
        <v>435</v>
      </c>
      <c r="E229" s="136">
        <f>IFERROR(TABELAS_RESUMO!F7,0)</f>
        <v>0</v>
      </c>
    </row>
    <row r="230" spans="1:5" x14ac:dyDescent="0.25">
      <c r="A230" t="s">
        <v>436</v>
      </c>
      <c r="B230" s="136">
        <v>9</v>
      </c>
      <c r="C230" s="136" t="s">
        <v>30</v>
      </c>
      <c r="D230" s="135" t="s">
        <v>926</v>
      </c>
      <c r="E230" t="str">
        <f>IFERROR(UC_DADOS!B39,0)</f>
        <v>Ausência de faturas no período dos últimos 12 meses analisados</v>
      </c>
    </row>
  </sheetData>
  <mergeCells count="2">
    <mergeCell ref="F101:F112"/>
    <mergeCell ref="F47:F52"/>
  </mergeCells>
  <phoneticPr fontId="59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13"/>
  <sheetViews>
    <sheetView topLeftCell="BX1" zoomScaleNormal="100" workbookViewId="0">
      <selection activeCell="CA3" sqref="CA3"/>
    </sheetView>
  </sheetViews>
  <sheetFormatPr defaultColWidth="12" defaultRowHeight="15.75" x14ac:dyDescent="0.25"/>
  <cols>
    <col min="1" max="1" width="41.140625" style="26" bestFit="1" customWidth="1"/>
    <col min="2" max="2" width="18.5703125" style="26" bestFit="1" customWidth="1"/>
    <col min="3" max="3" width="14" style="26" bestFit="1" customWidth="1"/>
    <col min="4" max="4" width="23.140625" style="26" bestFit="1" customWidth="1"/>
    <col min="5" max="5" width="21" style="26" bestFit="1" customWidth="1"/>
    <col min="6" max="6" width="63.28515625" style="26" bestFit="1" customWidth="1"/>
    <col min="7" max="7" width="13.28515625" style="26" bestFit="1" customWidth="1"/>
    <col min="8" max="8" width="16.140625" style="26" bestFit="1" customWidth="1"/>
    <col min="9" max="9" width="15.42578125" style="26" bestFit="1" customWidth="1"/>
    <col min="10" max="10" width="27.7109375" style="26" bestFit="1" customWidth="1"/>
    <col min="11" max="11" width="14.140625" style="26" bestFit="1" customWidth="1"/>
    <col min="12" max="12" width="17.28515625" style="26" bestFit="1" customWidth="1"/>
    <col min="13" max="13" width="18.85546875" style="26" bestFit="1" customWidth="1"/>
    <col min="14" max="14" width="22.7109375" style="26" bestFit="1" customWidth="1"/>
    <col min="15" max="15" width="19.85546875" style="26" bestFit="1" customWidth="1"/>
    <col min="16" max="16" width="21" style="26" bestFit="1" customWidth="1"/>
    <col min="17" max="17" width="13.140625" style="26" bestFit="1" customWidth="1"/>
    <col min="18" max="18" width="17.5703125" style="26" bestFit="1" customWidth="1"/>
    <col min="19" max="19" width="16.5703125" style="26" bestFit="1" customWidth="1"/>
    <col min="20" max="20" width="33" style="26" bestFit="1" customWidth="1"/>
    <col min="21" max="21" width="21" style="26" bestFit="1" customWidth="1"/>
    <col min="22" max="22" width="27.7109375" style="26" bestFit="1" customWidth="1"/>
    <col min="23" max="23" width="32.7109375" style="26" bestFit="1" customWidth="1"/>
    <col min="24" max="24" width="26.85546875" style="26" bestFit="1" customWidth="1"/>
    <col min="25" max="25" width="50.7109375" style="26" bestFit="1" customWidth="1"/>
    <col min="26" max="26" width="18.28515625" style="26" bestFit="1" customWidth="1"/>
    <col min="27" max="27" width="14.7109375" style="26" bestFit="1" customWidth="1"/>
    <col min="28" max="28" width="18.140625" style="26" bestFit="1" customWidth="1"/>
    <col min="29" max="29" width="14.85546875" style="26" bestFit="1" customWidth="1"/>
    <col min="30" max="30" width="41.7109375" style="26" bestFit="1" customWidth="1"/>
    <col min="31" max="31" width="28.140625" style="26" bestFit="1" customWidth="1"/>
    <col min="32" max="32" width="24.140625" style="26" bestFit="1" customWidth="1"/>
    <col min="33" max="33" width="22.5703125" style="26" bestFit="1" customWidth="1"/>
    <col min="34" max="34" width="16" style="26" bestFit="1" customWidth="1"/>
    <col min="35" max="35" width="42.85546875" style="26" bestFit="1" customWidth="1"/>
    <col min="36" max="36" width="20.85546875" style="26" bestFit="1" customWidth="1"/>
    <col min="37" max="37" width="47.85546875" style="26" bestFit="1" customWidth="1"/>
    <col min="38" max="38" width="23.28515625" style="26" bestFit="1" customWidth="1"/>
    <col min="39" max="39" width="50.140625" style="26" bestFit="1" customWidth="1"/>
    <col min="40" max="40" width="29.140625" style="26" bestFit="1" customWidth="1"/>
    <col min="41" max="41" width="34.28515625" style="26" bestFit="1" customWidth="1"/>
    <col min="42" max="42" width="36.5703125" style="26" bestFit="1" customWidth="1"/>
    <col min="43" max="43" width="26.5703125" style="26" bestFit="1" customWidth="1"/>
    <col min="44" max="44" width="30.28515625" style="26" bestFit="1" customWidth="1"/>
    <col min="45" max="45" width="32.5703125" style="26" bestFit="1" customWidth="1"/>
    <col min="46" max="46" width="18.28515625" style="26" bestFit="1" customWidth="1"/>
    <col min="47" max="47" width="24.85546875" style="26" bestFit="1" customWidth="1"/>
    <col min="48" max="48" width="30" style="26" bestFit="1" customWidth="1"/>
    <col min="49" max="49" width="28.42578125" style="26" bestFit="1" customWidth="1"/>
    <col min="50" max="50" width="35.140625" style="26" bestFit="1" customWidth="1"/>
    <col min="51" max="51" width="40.140625" style="26" bestFit="1" customWidth="1"/>
    <col min="52" max="52" width="18.85546875" style="26" bestFit="1" customWidth="1"/>
    <col min="53" max="53" width="25.5703125" style="26" bestFit="1" customWidth="1"/>
    <col min="54" max="54" width="30.5703125" style="26" bestFit="1" customWidth="1"/>
    <col min="55" max="55" width="22.7109375" style="26" bestFit="1" customWidth="1"/>
    <col min="56" max="56" width="23.7109375" style="26" bestFit="1" customWidth="1"/>
    <col min="57" max="57" width="28.7109375" style="26" bestFit="1" customWidth="1"/>
    <col min="58" max="58" width="33.85546875" style="26" bestFit="1" customWidth="1"/>
    <col min="59" max="59" width="34.85546875" style="26" bestFit="1" customWidth="1"/>
    <col min="60" max="60" width="39.85546875" style="26" bestFit="1" customWidth="1"/>
    <col min="61" max="61" width="28.42578125" style="26" bestFit="1" customWidth="1"/>
    <col min="62" max="62" width="35.140625" style="26" bestFit="1" customWidth="1"/>
    <col min="63" max="63" width="40.140625" style="26" bestFit="1" customWidth="1"/>
    <col min="64" max="64" width="18.42578125" style="26" bestFit="1" customWidth="1"/>
    <col min="65" max="65" width="23.42578125" style="26" bestFit="1" customWidth="1"/>
    <col min="66" max="66" width="32.5703125" style="26" bestFit="1" customWidth="1"/>
    <col min="67" max="67" width="29.85546875" style="26" bestFit="1" customWidth="1"/>
    <col min="68" max="68" width="21" style="26" bestFit="1" customWidth="1"/>
    <col min="69" max="69" width="28.7109375" style="26" bestFit="1" customWidth="1"/>
    <col min="70" max="70" width="22.28515625" style="26" bestFit="1" customWidth="1"/>
    <col min="71" max="71" width="27.28515625" style="26" bestFit="1" customWidth="1"/>
    <col min="72" max="72" width="29.7109375" style="26" bestFit="1" customWidth="1"/>
    <col min="73" max="73" width="29.28515625" style="26" bestFit="1" customWidth="1"/>
    <col min="74" max="74" width="24.5703125" style="26" bestFit="1" customWidth="1"/>
    <col min="75" max="75" width="34.85546875" style="26" bestFit="1" customWidth="1"/>
    <col min="76" max="76" width="41.42578125" style="26" bestFit="1" customWidth="1"/>
    <col min="77" max="77" width="46.5703125" style="26" bestFit="1" customWidth="1"/>
    <col min="78" max="78" width="31.28515625" style="26" bestFit="1" customWidth="1"/>
    <col min="79" max="79" width="36.28515625" style="26" bestFit="1" customWidth="1"/>
    <col min="80" max="80" width="34.5703125" style="26" bestFit="1" customWidth="1"/>
    <col min="81" max="81" width="34.85546875" style="26" bestFit="1" customWidth="1"/>
    <col min="82" max="82" width="39.85546875" style="26" bestFit="1" customWidth="1"/>
    <col min="83" max="83" width="51.85546875" style="26" bestFit="1" customWidth="1"/>
    <col min="84" max="84" width="56.85546875" style="26" bestFit="1" customWidth="1"/>
    <col min="85" max="85" width="27" style="26" bestFit="1" customWidth="1"/>
    <col min="86" max="86" width="16.5703125" style="26" bestFit="1" customWidth="1"/>
    <col min="87" max="87" width="18.85546875" style="26" bestFit="1" customWidth="1"/>
    <col min="88" max="88" width="14.140625" style="26" bestFit="1" customWidth="1"/>
    <col min="89" max="89" width="15" style="26" bestFit="1" customWidth="1"/>
    <col min="90" max="90" width="17.28515625" style="26" bestFit="1" customWidth="1"/>
    <col min="91" max="91" width="12.42578125" style="26" bestFit="1" customWidth="1"/>
    <col min="92" max="92" width="18" style="26" bestFit="1" customWidth="1"/>
    <col min="93" max="93" width="20.140625" style="26" bestFit="1" customWidth="1"/>
    <col min="94" max="94" width="15.42578125" style="26" bestFit="1" customWidth="1"/>
    <col min="95" max="95" width="19.7109375" style="26" bestFit="1" customWidth="1"/>
    <col min="96" max="96" width="45.140625" style="26" bestFit="1" customWidth="1"/>
    <col min="97" max="97" width="58.7109375" style="26" bestFit="1" customWidth="1"/>
    <col min="98" max="98" width="65.7109375" style="26" bestFit="1" customWidth="1"/>
    <col min="99" max="99" width="31.7109375" style="26" bestFit="1" customWidth="1"/>
    <col min="100" max="100" width="30.140625" style="26" bestFit="1" customWidth="1"/>
    <col min="101" max="101" width="34.5703125" style="26" bestFit="1" customWidth="1"/>
    <col min="102" max="16384" width="12" style="26"/>
  </cols>
  <sheetData>
    <row r="1" spans="1:101" x14ac:dyDescent="0.25">
      <c r="A1" s="316" t="s">
        <v>437</v>
      </c>
      <c r="B1" s="316" t="s">
        <v>438</v>
      </c>
      <c r="C1" s="316" t="s">
        <v>439</v>
      </c>
      <c r="D1" s="316" t="s">
        <v>440</v>
      </c>
      <c r="E1" s="316" t="s">
        <v>441</v>
      </c>
      <c r="F1" s="316" t="s">
        <v>442</v>
      </c>
      <c r="G1" s="316" t="s">
        <v>443</v>
      </c>
      <c r="H1" s="316" t="s">
        <v>444</v>
      </c>
      <c r="I1" s="316" t="s">
        <v>445</v>
      </c>
      <c r="J1" s="316" t="s">
        <v>446</v>
      </c>
      <c r="K1" s="316" t="s">
        <v>447</v>
      </c>
      <c r="L1" s="316" t="s">
        <v>448</v>
      </c>
      <c r="M1" s="316" t="s">
        <v>449</v>
      </c>
      <c r="N1" s="316" t="s">
        <v>450</v>
      </c>
      <c r="O1" s="316" t="s">
        <v>451</v>
      </c>
      <c r="P1" s="316" t="s">
        <v>452</v>
      </c>
      <c r="Q1" s="316" t="s">
        <v>453</v>
      </c>
      <c r="R1" s="316" t="s">
        <v>454</v>
      </c>
      <c r="S1" s="316" t="s">
        <v>455</v>
      </c>
      <c r="T1" s="316" t="s">
        <v>456</v>
      </c>
      <c r="U1" s="316" t="s">
        <v>457</v>
      </c>
      <c r="V1" s="316" t="s">
        <v>458</v>
      </c>
      <c r="W1" s="316" t="s">
        <v>459</v>
      </c>
      <c r="X1" s="316" t="s">
        <v>460</v>
      </c>
      <c r="Y1" s="316" t="s">
        <v>461</v>
      </c>
      <c r="Z1" s="316" t="s">
        <v>462</v>
      </c>
      <c r="AA1" s="316" t="s">
        <v>463</v>
      </c>
      <c r="AB1" s="316" t="s">
        <v>464</v>
      </c>
      <c r="AC1" s="316" t="s">
        <v>465</v>
      </c>
      <c r="AD1" s="316" t="s">
        <v>466</v>
      </c>
      <c r="AE1" s="316" t="s">
        <v>467</v>
      </c>
      <c r="AF1" s="316" t="s">
        <v>468</v>
      </c>
      <c r="AG1" s="316" t="s">
        <v>469</v>
      </c>
      <c r="AH1" s="316" t="s">
        <v>470</v>
      </c>
      <c r="AI1" s="316" t="s">
        <v>471</v>
      </c>
      <c r="AJ1" s="316" t="s">
        <v>472</v>
      </c>
      <c r="AK1" s="316" t="s">
        <v>473</v>
      </c>
      <c r="AL1" s="316" t="s">
        <v>474</v>
      </c>
      <c r="AM1" s="316" t="s">
        <v>475</v>
      </c>
      <c r="AN1" s="316" t="s">
        <v>476</v>
      </c>
      <c r="AO1" s="316" t="s">
        <v>477</v>
      </c>
      <c r="AP1" s="316" t="s">
        <v>478</v>
      </c>
      <c r="AQ1" s="316" t="s">
        <v>479</v>
      </c>
      <c r="AR1" s="316" t="s">
        <v>480</v>
      </c>
      <c r="AS1" s="316" t="s">
        <v>481</v>
      </c>
      <c r="AT1" s="316" t="s">
        <v>482</v>
      </c>
      <c r="AU1" s="316" t="s">
        <v>483</v>
      </c>
      <c r="AV1" s="316" t="s">
        <v>484</v>
      </c>
      <c r="AW1" s="316" t="s">
        <v>485</v>
      </c>
      <c r="AX1" s="316" t="s">
        <v>486</v>
      </c>
      <c r="AY1" s="316" t="s">
        <v>487</v>
      </c>
      <c r="AZ1" s="316" t="s">
        <v>488</v>
      </c>
      <c r="BA1" s="316" t="s">
        <v>489</v>
      </c>
      <c r="BB1" s="316" t="s">
        <v>490</v>
      </c>
      <c r="BC1" s="316" t="s">
        <v>491</v>
      </c>
      <c r="BD1" s="316" t="s">
        <v>492</v>
      </c>
      <c r="BE1" s="316" t="s">
        <v>493</v>
      </c>
      <c r="BF1" s="316" t="s">
        <v>494</v>
      </c>
      <c r="BG1" s="316" t="s">
        <v>495</v>
      </c>
      <c r="BH1" s="316" t="s">
        <v>496</v>
      </c>
      <c r="BI1" s="316" t="s">
        <v>497</v>
      </c>
      <c r="BJ1" s="316" t="s">
        <v>498</v>
      </c>
      <c r="BK1" s="316" t="s">
        <v>499</v>
      </c>
      <c r="BL1" s="316" t="s">
        <v>500</v>
      </c>
      <c r="BM1" s="316" t="s">
        <v>501</v>
      </c>
      <c r="BN1" s="316" t="s">
        <v>502</v>
      </c>
      <c r="BO1" s="316" t="s">
        <v>503</v>
      </c>
      <c r="BP1" s="316" t="s">
        <v>504</v>
      </c>
      <c r="BQ1" s="316" t="s">
        <v>505</v>
      </c>
      <c r="BR1" s="316" t="s">
        <v>506</v>
      </c>
      <c r="BS1" s="316" t="s">
        <v>507</v>
      </c>
      <c r="BT1" s="316" t="s">
        <v>508</v>
      </c>
      <c r="BU1" s="316" t="s">
        <v>509</v>
      </c>
      <c r="BV1" s="316" t="s">
        <v>510</v>
      </c>
      <c r="BW1" s="316" t="s">
        <v>511</v>
      </c>
      <c r="BX1" s="316" t="s">
        <v>512</v>
      </c>
      <c r="BY1" s="316" t="s">
        <v>513</v>
      </c>
      <c r="BZ1" s="316" t="s">
        <v>514</v>
      </c>
      <c r="CA1" s="316" t="s">
        <v>515</v>
      </c>
      <c r="CB1" s="316" t="s">
        <v>516</v>
      </c>
      <c r="CC1" s="316" t="s">
        <v>517</v>
      </c>
      <c r="CD1" s="316" t="s">
        <v>518</v>
      </c>
      <c r="CE1" s="316" t="s">
        <v>519</v>
      </c>
      <c r="CF1" s="316" t="s">
        <v>520</v>
      </c>
      <c r="CG1" s="316" t="s">
        <v>521</v>
      </c>
      <c r="CH1" s="316" t="s">
        <v>522</v>
      </c>
      <c r="CI1" s="316" t="s">
        <v>523</v>
      </c>
      <c r="CJ1" s="316" t="s">
        <v>524</v>
      </c>
      <c r="CK1" s="316" t="s">
        <v>525</v>
      </c>
      <c r="CL1" s="316" t="s">
        <v>526</v>
      </c>
      <c r="CM1" s="316" t="s">
        <v>527</v>
      </c>
      <c r="CN1" s="316" t="s">
        <v>528</v>
      </c>
      <c r="CO1" s="316" t="s">
        <v>529</v>
      </c>
      <c r="CP1" s="316" t="s">
        <v>530</v>
      </c>
      <c r="CQ1" s="316" t="s">
        <v>531</v>
      </c>
      <c r="CR1" s="316" t="s">
        <v>532</v>
      </c>
      <c r="CS1" s="316" t="s">
        <v>533</v>
      </c>
      <c r="CT1" s="316" t="s">
        <v>534</v>
      </c>
      <c r="CU1" s="316" t="s">
        <v>535</v>
      </c>
      <c r="CV1" s="316" t="s">
        <v>536</v>
      </c>
      <c r="CW1" s="316" t="s">
        <v>537</v>
      </c>
    </row>
    <row r="2" spans="1:101" x14ac:dyDescent="0.25">
      <c r="A2" s="316" t="s">
        <v>538</v>
      </c>
      <c r="B2" s="316" t="s">
        <v>539</v>
      </c>
      <c r="C2" s="316" t="s">
        <v>540</v>
      </c>
      <c r="D2" s="316" t="s">
        <v>541</v>
      </c>
      <c r="E2" s="316">
        <v>4707.45</v>
      </c>
      <c r="F2" s="316" t="s">
        <v>542</v>
      </c>
      <c r="G2" s="316" t="s">
        <v>543</v>
      </c>
      <c r="H2" s="317" t="s">
        <v>544</v>
      </c>
      <c r="I2" s="317" t="s">
        <v>544</v>
      </c>
      <c r="J2" s="316" t="s">
        <v>545</v>
      </c>
      <c r="K2" s="318">
        <v>46140</v>
      </c>
      <c r="L2" s="318">
        <v>46170</v>
      </c>
      <c r="M2" s="318">
        <v>46082</v>
      </c>
      <c r="N2" s="318">
        <v>46142</v>
      </c>
      <c r="O2" s="318">
        <v>46112</v>
      </c>
      <c r="P2" s="318">
        <v>46081</v>
      </c>
      <c r="Q2" s="316">
        <v>31</v>
      </c>
      <c r="R2" s="316">
        <v>0</v>
      </c>
      <c r="S2" s="317" t="s">
        <v>544</v>
      </c>
      <c r="T2" s="317" t="s">
        <v>544</v>
      </c>
      <c r="U2" s="316">
        <v>80</v>
      </c>
      <c r="V2" s="317" t="s">
        <v>544</v>
      </c>
      <c r="W2" s="317" t="s">
        <v>544</v>
      </c>
      <c r="X2" s="316" t="s">
        <v>546</v>
      </c>
      <c r="Y2" s="316" t="s">
        <v>547</v>
      </c>
      <c r="Z2" s="316" t="s">
        <v>548</v>
      </c>
      <c r="AA2" s="316">
        <v>7041435180</v>
      </c>
      <c r="AB2" s="316">
        <v>11039337</v>
      </c>
      <c r="AC2" s="316">
        <v>3282.5</v>
      </c>
      <c r="AD2" s="316">
        <v>3364.57</v>
      </c>
      <c r="AE2" s="316">
        <v>0</v>
      </c>
      <c r="AF2" s="316">
        <v>3364.56</v>
      </c>
      <c r="AG2" s="317" t="s">
        <v>544</v>
      </c>
      <c r="AH2" s="316">
        <v>80.900000000000006</v>
      </c>
      <c r="AI2" s="316">
        <v>82.93</v>
      </c>
      <c r="AJ2" s="316">
        <v>3201.6</v>
      </c>
      <c r="AK2" s="316">
        <v>3281.64</v>
      </c>
      <c r="AL2" s="317" t="s">
        <v>544</v>
      </c>
      <c r="AM2" s="317" t="s">
        <v>544</v>
      </c>
      <c r="AN2" s="316">
        <v>0</v>
      </c>
      <c r="AO2" s="316">
        <v>0</v>
      </c>
      <c r="AP2" s="317" t="s">
        <v>544</v>
      </c>
      <c r="AQ2" s="316">
        <v>82.92</v>
      </c>
      <c r="AR2" s="316">
        <v>3281.64</v>
      </c>
      <c r="AS2" s="317" t="s">
        <v>544</v>
      </c>
      <c r="AT2" s="316">
        <v>34.08</v>
      </c>
      <c r="AU2" s="316">
        <v>2.2999999999999998</v>
      </c>
      <c r="AV2" s="316">
        <v>34.08</v>
      </c>
      <c r="AW2" s="316">
        <v>0</v>
      </c>
      <c r="AX2" s="317" t="s">
        <v>544</v>
      </c>
      <c r="AY2" s="317" t="s">
        <v>544</v>
      </c>
      <c r="AZ2" s="316">
        <v>80</v>
      </c>
      <c r="BA2" s="317" t="s">
        <v>544</v>
      </c>
      <c r="BB2" s="317" t="s">
        <v>544</v>
      </c>
      <c r="BC2" s="316">
        <v>0</v>
      </c>
      <c r="BD2" s="316">
        <v>0</v>
      </c>
      <c r="BE2" s="316">
        <v>0</v>
      </c>
      <c r="BF2" s="316">
        <v>82.41</v>
      </c>
      <c r="BG2" s="316">
        <v>0</v>
      </c>
      <c r="BH2" s="316">
        <v>82.41</v>
      </c>
      <c r="BI2" s="316">
        <v>0</v>
      </c>
      <c r="BJ2" s="317" t="s">
        <v>544</v>
      </c>
      <c r="BK2" s="317" t="s">
        <v>544</v>
      </c>
      <c r="BL2" s="316">
        <v>0.53</v>
      </c>
      <c r="BM2" s="316">
        <v>0.14000000000000001</v>
      </c>
      <c r="BN2" s="316">
        <v>2.5</v>
      </c>
      <c r="BO2" s="317" t="s">
        <v>544</v>
      </c>
      <c r="BP2" s="317" t="s">
        <v>544</v>
      </c>
      <c r="BQ2" s="317" t="s">
        <v>544</v>
      </c>
      <c r="BR2" s="316">
        <v>3.3227705699999999</v>
      </c>
      <c r="BS2" s="316">
        <v>0.38957283999999998</v>
      </c>
      <c r="BT2" s="317" t="s">
        <v>544</v>
      </c>
      <c r="BU2" s="317" t="s">
        <v>544</v>
      </c>
      <c r="BV2" s="316">
        <v>41.33390429</v>
      </c>
      <c r="BW2" s="317" t="s">
        <v>544</v>
      </c>
      <c r="BX2" s="317" t="s">
        <v>544</v>
      </c>
      <c r="BY2" s="317" t="s">
        <v>544</v>
      </c>
      <c r="BZ2" s="317" t="s">
        <v>544</v>
      </c>
      <c r="CA2" s="317" t="s">
        <v>544</v>
      </c>
      <c r="CB2" s="316">
        <v>0.29679905000000001</v>
      </c>
      <c r="CC2" s="316">
        <v>41.33390429</v>
      </c>
      <c r="CD2" s="316">
        <v>82.667808579999999</v>
      </c>
      <c r="CE2" s="317" t="s">
        <v>544</v>
      </c>
      <c r="CF2" s="317" t="s">
        <v>544</v>
      </c>
      <c r="CG2" s="316">
        <v>0.46186399</v>
      </c>
      <c r="CH2" s="316">
        <v>0</v>
      </c>
      <c r="CI2" s="316">
        <v>0</v>
      </c>
      <c r="CJ2" s="319">
        <v>0.20499999999999999</v>
      </c>
      <c r="CK2" s="316">
        <v>57.15</v>
      </c>
      <c r="CL2" s="316">
        <v>4885.1099999999997</v>
      </c>
      <c r="CM2" s="319">
        <v>1.17E-2</v>
      </c>
      <c r="CN2" s="316">
        <v>264.77</v>
      </c>
      <c r="CO2" s="316">
        <v>4885.1099999999997</v>
      </c>
      <c r="CP2" s="319">
        <v>5.4199999999999998E-2</v>
      </c>
      <c r="CQ2" s="316">
        <v>958129091</v>
      </c>
      <c r="CR2" s="316" t="s">
        <v>549</v>
      </c>
      <c r="CS2" s="316" t="s">
        <v>550</v>
      </c>
      <c r="CT2" s="316" t="s">
        <v>551</v>
      </c>
      <c r="CU2" s="320">
        <v>0</v>
      </c>
      <c r="CV2" s="320">
        <v>0</v>
      </c>
      <c r="CW2" s="320">
        <v>0</v>
      </c>
    </row>
    <row r="3" spans="1:101" x14ac:dyDescent="0.25">
      <c r="A3" s="316" t="s">
        <v>552</v>
      </c>
      <c r="B3" s="316" t="s">
        <v>553</v>
      </c>
      <c r="C3" s="316" t="s">
        <v>540</v>
      </c>
      <c r="D3" s="316" t="s">
        <v>541</v>
      </c>
      <c r="E3" s="316">
        <v>3697.51</v>
      </c>
      <c r="F3" s="316" t="s">
        <v>542</v>
      </c>
      <c r="G3" s="316" t="s">
        <v>543</v>
      </c>
      <c r="H3" s="317" t="s">
        <v>544</v>
      </c>
      <c r="I3" s="317" t="s">
        <v>544</v>
      </c>
      <c r="J3" s="316" t="s">
        <v>545</v>
      </c>
      <c r="K3" s="318">
        <v>46108</v>
      </c>
      <c r="L3" s="318">
        <v>46140</v>
      </c>
      <c r="M3" s="318">
        <v>46054</v>
      </c>
      <c r="N3" s="318">
        <v>46112</v>
      </c>
      <c r="O3" s="318">
        <v>46081</v>
      </c>
      <c r="P3" s="318">
        <v>46053</v>
      </c>
      <c r="Q3" s="316">
        <v>28</v>
      </c>
      <c r="R3" s="316">
        <v>0</v>
      </c>
      <c r="S3" s="317" t="s">
        <v>544</v>
      </c>
      <c r="T3" s="317" t="s">
        <v>544</v>
      </c>
      <c r="U3" s="316">
        <v>80</v>
      </c>
      <c r="V3" s="317" t="s">
        <v>544</v>
      </c>
      <c r="W3" s="317" t="s">
        <v>544</v>
      </c>
      <c r="X3" s="316" t="s">
        <v>546</v>
      </c>
      <c r="Y3" s="316" t="s">
        <v>547</v>
      </c>
      <c r="Z3" s="316" t="s">
        <v>548</v>
      </c>
      <c r="AA3" s="316">
        <v>7041435180</v>
      </c>
      <c r="AB3" s="316">
        <v>11039337</v>
      </c>
      <c r="AC3" s="316">
        <v>1022.17</v>
      </c>
      <c r="AD3" s="316">
        <v>1047.73</v>
      </c>
      <c r="AE3" s="316">
        <v>0</v>
      </c>
      <c r="AF3" s="316">
        <v>1047.72</v>
      </c>
      <c r="AG3" s="317" t="s">
        <v>544</v>
      </c>
      <c r="AH3" s="316">
        <v>48.97</v>
      </c>
      <c r="AI3" s="316">
        <v>50.2</v>
      </c>
      <c r="AJ3" s="316">
        <v>973.2</v>
      </c>
      <c r="AK3" s="316">
        <v>997.53</v>
      </c>
      <c r="AL3" s="317" t="s">
        <v>544</v>
      </c>
      <c r="AM3" s="317" t="s">
        <v>544</v>
      </c>
      <c r="AN3" s="316">
        <v>0</v>
      </c>
      <c r="AO3" s="316">
        <v>0</v>
      </c>
      <c r="AP3" s="317" t="s">
        <v>544</v>
      </c>
      <c r="AQ3" s="316">
        <v>50.19</v>
      </c>
      <c r="AR3" s="316">
        <v>997.53</v>
      </c>
      <c r="AS3" s="317" t="s">
        <v>544</v>
      </c>
      <c r="AT3" s="316">
        <v>11.71</v>
      </c>
      <c r="AU3" s="316">
        <v>1.2</v>
      </c>
      <c r="AV3" s="316">
        <v>11.71</v>
      </c>
      <c r="AW3" s="316">
        <v>0</v>
      </c>
      <c r="AX3" s="317" t="s">
        <v>544</v>
      </c>
      <c r="AY3" s="317" t="s">
        <v>544</v>
      </c>
      <c r="AZ3" s="316">
        <v>80</v>
      </c>
      <c r="BA3" s="317" t="s">
        <v>544</v>
      </c>
      <c r="BB3" s="317" t="s">
        <v>544</v>
      </c>
      <c r="BC3" s="316">
        <v>0</v>
      </c>
      <c r="BD3" s="316">
        <v>0</v>
      </c>
      <c r="BE3" s="316">
        <v>0</v>
      </c>
      <c r="BF3" s="316">
        <v>109.47</v>
      </c>
      <c r="BG3" s="316">
        <v>0</v>
      </c>
      <c r="BH3" s="316">
        <v>109.47</v>
      </c>
      <c r="BI3" s="316">
        <v>0</v>
      </c>
      <c r="BJ3" s="317" t="s">
        <v>544</v>
      </c>
      <c r="BK3" s="317" t="s">
        <v>544</v>
      </c>
      <c r="BL3" s="316">
        <v>0.76</v>
      </c>
      <c r="BM3" s="316">
        <v>0.13</v>
      </c>
      <c r="BN3" s="316">
        <v>2.5</v>
      </c>
      <c r="BO3" s="317" t="s">
        <v>544</v>
      </c>
      <c r="BP3" s="317" t="s">
        <v>544</v>
      </c>
      <c r="BQ3" s="317" t="s">
        <v>544</v>
      </c>
      <c r="BR3" s="316">
        <v>3.2949044500000002</v>
      </c>
      <c r="BS3" s="316">
        <v>0.38630572000000002</v>
      </c>
      <c r="BT3" s="317" t="s">
        <v>544</v>
      </c>
      <c r="BU3" s="317" t="s">
        <v>544</v>
      </c>
      <c r="BV3" s="316">
        <v>40.987261140000001</v>
      </c>
      <c r="BW3" s="317" t="s">
        <v>544</v>
      </c>
      <c r="BX3" s="317" t="s">
        <v>544</v>
      </c>
      <c r="BY3" s="317" t="s">
        <v>544</v>
      </c>
      <c r="BZ3" s="317" t="s">
        <v>544</v>
      </c>
      <c r="CA3" s="317" t="s">
        <v>544</v>
      </c>
      <c r="CB3" s="316">
        <v>0.29430996999999998</v>
      </c>
      <c r="CC3" s="316">
        <v>40.987261140000001</v>
      </c>
      <c r="CD3" s="316">
        <v>81.974522280000002</v>
      </c>
      <c r="CE3" s="317" t="s">
        <v>544</v>
      </c>
      <c r="CF3" s="317" t="s">
        <v>544</v>
      </c>
      <c r="CG3" s="316">
        <v>0.52565052999999995</v>
      </c>
      <c r="CH3" s="316">
        <v>0</v>
      </c>
      <c r="CI3" s="316">
        <v>0</v>
      </c>
      <c r="CJ3" s="319">
        <v>0.20499999999999999</v>
      </c>
      <c r="CK3" s="316">
        <v>39.770000000000003</v>
      </c>
      <c r="CL3" s="316">
        <v>3861.9</v>
      </c>
      <c r="CM3" s="319">
        <v>1.03E-2</v>
      </c>
      <c r="CN3" s="316">
        <v>184.21</v>
      </c>
      <c r="CO3" s="316">
        <v>3861.9</v>
      </c>
      <c r="CP3" s="319">
        <v>4.7699999999999999E-2</v>
      </c>
      <c r="CQ3" s="316">
        <v>950416389</v>
      </c>
      <c r="CR3" s="316" t="s">
        <v>549</v>
      </c>
      <c r="CS3" s="316" t="s">
        <v>554</v>
      </c>
      <c r="CT3" s="316" t="s">
        <v>555</v>
      </c>
      <c r="CU3" s="320">
        <v>1917.61</v>
      </c>
      <c r="CV3" s="320">
        <v>3808.37</v>
      </c>
      <c r="CW3" s="320">
        <v>3808.37</v>
      </c>
    </row>
    <row r="4" spans="1:101" x14ac:dyDescent="0.25">
      <c r="A4" s="321" t="s">
        <v>556</v>
      </c>
      <c r="B4" s="316" t="s">
        <v>553</v>
      </c>
      <c r="C4" s="316" t="s">
        <v>540</v>
      </c>
      <c r="D4" s="316" t="s">
        <v>541</v>
      </c>
      <c r="E4" s="316">
        <v>4517.8999999999996</v>
      </c>
      <c r="F4" s="316" t="s">
        <v>542</v>
      </c>
      <c r="G4" s="316" t="s">
        <v>543</v>
      </c>
      <c r="H4" s="317" t="s">
        <v>544</v>
      </c>
      <c r="I4" s="317" t="s">
        <v>544</v>
      </c>
      <c r="J4" s="316" t="s">
        <v>545</v>
      </c>
      <c r="K4" s="318">
        <v>46079</v>
      </c>
      <c r="L4" s="318">
        <v>46111</v>
      </c>
      <c r="M4" s="318">
        <v>46023</v>
      </c>
      <c r="N4" s="318">
        <v>46081</v>
      </c>
      <c r="O4" s="318">
        <v>46053</v>
      </c>
      <c r="P4" s="318">
        <v>46022</v>
      </c>
      <c r="Q4" s="316">
        <v>31</v>
      </c>
      <c r="R4" s="316">
        <v>0</v>
      </c>
      <c r="S4" s="317" t="s">
        <v>544</v>
      </c>
      <c r="T4" s="317" t="s">
        <v>544</v>
      </c>
      <c r="U4" s="316">
        <v>80</v>
      </c>
      <c r="V4" s="317" t="s">
        <v>544</v>
      </c>
      <c r="W4" s="317" t="s">
        <v>544</v>
      </c>
      <c r="X4" s="316" t="s">
        <v>546</v>
      </c>
      <c r="Y4" s="316" t="s">
        <v>557</v>
      </c>
      <c r="Z4" s="316" t="s">
        <v>548</v>
      </c>
      <c r="AA4" s="316">
        <v>7041435180</v>
      </c>
      <c r="AB4" s="316">
        <v>11039337</v>
      </c>
      <c r="AC4" s="316">
        <v>2804.63</v>
      </c>
      <c r="AD4" s="316">
        <v>2874.74</v>
      </c>
      <c r="AE4" s="316">
        <v>0</v>
      </c>
      <c r="AF4" s="316">
        <v>2874.75</v>
      </c>
      <c r="AG4" s="317" t="s">
        <v>544</v>
      </c>
      <c r="AH4" s="316">
        <v>84.23</v>
      </c>
      <c r="AI4" s="316">
        <v>86.33</v>
      </c>
      <c r="AJ4" s="316">
        <v>2720.4</v>
      </c>
      <c r="AK4" s="316">
        <v>2788.41</v>
      </c>
      <c r="AL4" s="317" t="s">
        <v>544</v>
      </c>
      <c r="AM4" s="317" t="s">
        <v>544</v>
      </c>
      <c r="AN4" s="316">
        <v>0</v>
      </c>
      <c r="AO4" s="316">
        <v>0</v>
      </c>
      <c r="AP4" s="317" t="s">
        <v>544</v>
      </c>
      <c r="AQ4" s="316">
        <v>86.34</v>
      </c>
      <c r="AR4" s="316">
        <v>2788.41</v>
      </c>
      <c r="AS4" s="317" t="s">
        <v>544</v>
      </c>
      <c r="AT4" s="316">
        <v>33.979999999999997</v>
      </c>
      <c r="AU4" s="316">
        <v>2.69</v>
      </c>
      <c r="AV4" s="316">
        <v>33.979999999999997</v>
      </c>
      <c r="AW4" s="316">
        <v>0</v>
      </c>
      <c r="AX4" s="317" t="s">
        <v>544</v>
      </c>
      <c r="AY4" s="317" t="s">
        <v>544</v>
      </c>
      <c r="AZ4" s="316">
        <v>80</v>
      </c>
      <c r="BA4" s="317" t="s">
        <v>544</v>
      </c>
      <c r="BB4" s="317" t="s">
        <v>544</v>
      </c>
      <c r="BC4" s="316">
        <v>0</v>
      </c>
      <c r="BD4" s="316">
        <v>0</v>
      </c>
      <c r="BE4" s="316">
        <v>0</v>
      </c>
      <c r="BF4" s="316">
        <v>104.55</v>
      </c>
      <c r="BG4" s="316">
        <v>0</v>
      </c>
      <c r="BH4" s="316">
        <v>104.55</v>
      </c>
      <c r="BI4" s="316">
        <v>0</v>
      </c>
      <c r="BJ4" s="317" t="s">
        <v>544</v>
      </c>
      <c r="BK4" s="317" t="s">
        <v>544</v>
      </c>
      <c r="BL4" s="316">
        <v>0.5</v>
      </c>
      <c r="BM4" s="316">
        <v>0.12</v>
      </c>
      <c r="BN4" s="316">
        <v>2.5</v>
      </c>
      <c r="BO4" s="317" t="s">
        <v>544</v>
      </c>
      <c r="BP4" s="317" t="s">
        <v>544</v>
      </c>
      <c r="BQ4" s="317" t="s">
        <v>544</v>
      </c>
      <c r="BR4" s="316">
        <v>3.3100138499999998</v>
      </c>
      <c r="BS4" s="316">
        <v>0.38807720000000001</v>
      </c>
      <c r="BT4" s="317" t="s">
        <v>544</v>
      </c>
      <c r="BU4" s="317" t="s">
        <v>544</v>
      </c>
      <c r="BV4" s="316">
        <v>41.175215950000002</v>
      </c>
      <c r="BW4" s="317" t="s">
        <v>544</v>
      </c>
      <c r="BX4" s="317" t="s">
        <v>544</v>
      </c>
      <c r="BY4" s="317" t="s">
        <v>544</v>
      </c>
      <c r="BZ4" s="317" t="s">
        <v>544</v>
      </c>
      <c r="CA4" s="317" t="s">
        <v>544</v>
      </c>
      <c r="CB4" s="316">
        <v>0.29565959000000003</v>
      </c>
      <c r="CC4" s="316">
        <v>41.175215950000002</v>
      </c>
      <c r="CD4" s="316">
        <v>82.350431900000004</v>
      </c>
      <c r="CE4" s="317" t="s">
        <v>544</v>
      </c>
      <c r="CF4" s="317" t="s">
        <v>544</v>
      </c>
      <c r="CG4" s="316">
        <v>0.47583020999999998</v>
      </c>
      <c r="CH4" s="316">
        <v>0</v>
      </c>
      <c r="CI4" s="316">
        <v>0</v>
      </c>
      <c r="CJ4" s="319">
        <v>0.20499999999999999</v>
      </c>
      <c r="CK4" s="316">
        <v>52.09</v>
      </c>
      <c r="CL4" s="316">
        <v>4692.8</v>
      </c>
      <c r="CM4" s="319">
        <v>1.11E-2</v>
      </c>
      <c r="CN4" s="316">
        <v>240.27</v>
      </c>
      <c r="CO4" s="316">
        <v>4692.8</v>
      </c>
      <c r="CP4" s="319">
        <v>5.1200000000000002E-2</v>
      </c>
      <c r="CQ4" s="316">
        <v>942948518</v>
      </c>
      <c r="CR4" s="316" t="s">
        <v>549</v>
      </c>
      <c r="CS4" s="316" t="s">
        <v>558</v>
      </c>
      <c r="CT4" s="316" t="s">
        <v>559</v>
      </c>
      <c r="CU4" s="320">
        <v>1842.59</v>
      </c>
      <c r="CV4" s="320">
        <v>1842.59</v>
      </c>
      <c r="CW4" s="320">
        <v>1842.59</v>
      </c>
    </row>
    <row r="5" spans="1:101" x14ac:dyDescent="0.25">
      <c r="A5" s="316" t="s">
        <v>560</v>
      </c>
      <c r="B5" s="316" t="s">
        <v>553</v>
      </c>
      <c r="C5" s="316" t="s">
        <v>540</v>
      </c>
      <c r="D5" s="316" t="s">
        <v>541</v>
      </c>
      <c r="E5" s="316">
        <v>4873.8</v>
      </c>
      <c r="F5" s="316" t="s">
        <v>542</v>
      </c>
      <c r="G5" s="316" t="s">
        <v>543</v>
      </c>
      <c r="H5" s="317" t="s">
        <v>544</v>
      </c>
      <c r="I5" s="317" t="s">
        <v>544</v>
      </c>
      <c r="J5" s="316" t="s">
        <v>545</v>
      </c>
      <c r="K5" s="318">
        <v>46051</v>
      </c>
      <c r="L5" s="318">
        <v>46083</v>
      </c>
      <c r="M5" s="318">
        <v>45992</v>
      </c>
      <c r="N5" s="318">
        <v>46053</v>
      </c>
      <c r="O5" s="318">
        <v>46022</v>
      </c>
      <c r="P5" s="318">
        <v>45991</v>
      </c>
      <c r="Q5" s="316">
        <v>31</v>
      </c>
      <c r="R5" s="316">
        <v>0</v>
      </c>
      <c r="S5" s="317" t="s">
        <v>544</v>
      </c>
      <c r="T5" s="317" t="s">
        <v>544</v>
      </c>
      <c r="U5" s="316">
        <v>80</v>
      </c>
      <c r="V5" s="317" t="s">
        <v>544</v>
      </c>
      <c r="W5" s="317" t="s">
        <v>544</v>
      </c>
      <c r="X5" s="316" t="s">
        <v>546</v>
      </c>
      <c r="Y5" s="316" t="s">
        <v>547</v>
      </c>
      <c r="Z5" s="316" t="s">
        <v>548</v>
      </c>
      <c r="AA5" s="316">
        <v>7041435180</v>
      </c>
      <c r="AB5" s="316">
        <v>11039337</v>
      </c>
      <c r="AC5" s="316">
        <v>3476.05</v>
      </c>
      <c r="AD5" s="316">
        <v>3562.95</v>
      </c>
      <c r="AE5" s="316">
        <v>0</v>
      </c>
      <c r="AF5" s="316">
        <v>3562.95</v>
      </c>
      <c r="AG5" s="317" t="s">
        <v>544</v>
      </c>
      <c r="AH5" s="316">
        <v>80.05</v>
      </c>
      <c r="AI5" s="316">
        <v>82.05</v>
      </c>
      <c r="AJ5" s="316">
        <v>3396</v>
      </c>
      <c r="AK5" s="316">
        <v>3480.9</v>
      </c>
      <c r="AL5" s="317" t="s">
        <v>544</v>
      </c>
      <c r="AM5" s="317" t="s">
        <v>544</v>
      </c>
      <c r="AN5" s="316">
        <v>0</v>
      </c>
      <c r="AO5" s="316">
        <v>0</v>
      </c>
      <c r="AP5" s="317" t="s">
        <v>544</v>
      </c>
      <c r="AQ5" s="316">
        <v>82.05</v>
      </c>
      <c r="AR5" s="316">
        <v>3480.9</v>
      </c>
      <c r="AS5" s="317" t="s">
        <v>544</v>
      </c>
      <c r="AT5" s="316">
        <v>33.22</v>
      </c>
      <c r="AU5" s="316">
        <v>2.2999999999999998</v>
      </c>
      <c r="AV5" s="316">
        <v>33.22</v>
      </c>
      <c r="AW5" s="316">
        <v>0</v>
      </c>
      <c r="AX5" s="317" t="s">
        <v>544</v>
      </c>
      <c r="AY5" s="317" t="s">
        <v>544</v>
      </c>
      <c r="AZ5" s="316">
        <v>80</v>
      </c>
      <c r="BA5" s="317" t="s">
        <v>544</v>
      </c>
      <c r="BB5" s="317" t="s">
        <v>544</v>
      </c>
      <c r="BC5" s="316">
        <v>0</v>
      </c>
      <c r="BD5" s="316">
        <v>0</v>
      </c>
      <c r="BE5" s="316">
        <v>0</v>
      </c>
      <c r="BF5" s="316">
        <v>138</v>
      </c>
      <c r="BG5" s="316">
        <v>0</v>
      </c>
      <c r="BH5" s="316">
        <v>138</v>
      </c>
      <c r="BI5" s="316">
        <v>0</v>
      </c>
      <c r="BJ5" s="317" t="s">
        <v>544</v>
      </c>
      <c r="BK5" s="317" t="s">
        <v>544</v>
      </c>
      <c r="BL5" s="316">
        <v>0.53</v>
      </c>
      <c r="BM5" s="316">
        <v>0.15</v>
      </c>
      <c r="BN5" s="316">
        <v>2.5</v>
      </c>
      <c r="BO5" s="317" t="s">
        <v>544</v>
      </c>
      <c r="BP5" s="317" t="s">
        <v>544</v>
      </c>
      <c r="BQ5" s="317" t="s">
        <v>544</v>
      </c>
      <c r="BR5" s="316">
        <v>3.3458159099999998</v>
      </c>
      <c r="BS5" s="316">
        <v>0.41010392000000001</v>
      </c>
      <c r="BT5" s="317" t="s">
        <v>544</v>
      </c>
      <c r="BU5" s="317" t="s">
        <v>544</v>
      </c>
      <c r="BV5" s="316">
        <v>41.369334610000003</v>
      </c>
      <c r="BW5" s="317" t="s">
        <v>544</v>
      </c>
      <c r="BX5" s="317" t="s">
        <v>544</v>
      </c>
      <c r="BY5" s="317" t="s">
        <v>544</v>
      </c>
      <c r="BZ5" s="317" t="s">
        <v>544</v>
      </c>
      <c r="CA5" s="317" t="s">
        <v>544</v>
      </c>
      <c r="CB5" s="316">
        <v>0.29705345999999999</v>
      </c>
      <c r="CC5" s="316">
        <v>41.369334610000003</v>
      </c>
      <c r="CD5" s="316">
        <v>82.738669220000006</v>
      </c>
      <c r="CE5" s="317" t="s">
        <v>544</v>
      </c>
      <c r="CF5" s="317" t="s">
        <v>544</v>
      </c>
      <c r="CG5" s="316">
        <v>0.47771047</v>
      </c>
      <c r="CH5" s="316">
        <v>0</v>
      </c>
      <c r="CI5" s="316">
        <v>0</v>
      </c>
      <c r="CJ5" s="319">
        <v>0.20499999999999999</v>
      </c>
      <c r="CK5" s="316">
        <v>60.13</v>
      </c>
      <c r="CL5" s="316">
        <v>5053.59</v>
      </c>
      <c r="CM5" s="319">
        <v>1.1900000000000001E-2</v>
      </c>
      <c r="CN5" s="316">
        <v>276.93</v>
      </c>
      <c r="CO5" s="316">
        <v>5053.59</v>
      </c>
      <c r="CP5" s="319">
        <v>5.4800000000000001E-2</v>
      </c>
      <c r="CQ5" s="316">
        <v>935272040</v>
      </c>
      <c r="CR5" s="316" t="s">
        <v>549</v>
      </c>
      <c r="CS5" s="316" t="s">
        <v>561</v>
      </c>
      <c r="CT5" s="316" t="s">
        <v>562</v>
      </c>
      <c r="CU5" s="320">
        <v>1850.82</v>
      </c>
      <c r="CV5" s="320">
        <v>6895.52</v>
      </c>
      <c r="CW5" s="320">
        <v>6895.52</v>
      </c>
    </row>
    <row r="6" spans="1:101" x14ac:dyDescent="0.25">
      <c r="A6" s="316" t="s">
        <v>563</v>
      </c>
      <c r="B6" s="316" t="s">
        <v>553</v>
      </c>
      <c r="C6" s="316" t="s">
        <v>540</v>
      </c>
      <c r="D6" s="316" t="s">
        <v>541</v>
      </c>
      <c r="E6" s="316">
        <v>4877.45</v>
      </c>
      <c r="F6" s="316" t="s">
        <v>542</v>
      </c>
      <c r="G6" s="316" t="s">
        <v>543</v>
      </c>
      <c r="H6" s="317" t="s">
        <v>544</v>
      </c>
      <c r="I6" s="317" t="s">
        <v>544</v>
      </c>
      <c r="J6" s="316" t="s">
        <v>545</v>
      </c>
      <c r="K6" s="318">
        <v>46020</v>
      </c>
      <c r="L6" s="318">
        <v>46050</v>
      </c>
      <c r="M6" s="318">
        <v>45962</v>
      </c>
      <c r="N6" s="318">
        <v>46022</v>
      </c>
      <c r="O6" s="318">
        <v>45991</v>
      </c>
      <c r="P6" s="318">
        <v>45961</v>
      </c>
      <c r="Q6" s="316">
        <v>30</v>
      </c>
      <c r="R6" s="316">
        <v>0</v>
      </c>
      <c r="S6" s="317" t="s">
        <v>544</v>
      </c>
      <c r="T6" s="317" t="s">
        <v>544</v>
      </c>
      <c r="U6" s="316">
        <v>80</v>
      </c>
      <c r="V6" s="317" t="s">
        <v>544</v>
      </c>
      <c r="W6" s="317" t="s">
        <v>544</v>
      </c>
      <c r="X6" s="316" t="s">
        <v>546</v>
      </c>
      <c r="Y6" s="316" t="s">
        <v>547</v>
      </c>
      <c r="Z6" s="316" t="s">
        <v>548</v>
      </c>
      <c r="AA6" s="316">
        <v>7041435180</v>
      </c>
      <c r="AB6" s="316">
        <v>11039337</v>
      </c>
      <c r="AC6" s="316">
        <v>3167.94</v>
      </c>
      <c r="AD6" s="316">
        <v>3247.14</v>
      </c>
      <c r="AE6" s="316">
        <v>0</v>
      </c>
      <c r="AF6" s="316">
        <v>3247.14</v>
      </c>
      <c r="AG6" s="317" t="s">
        <v>544</v>
      </c>
      <c r="AH6" s="316">
        <v>73.14</v>
      </c>
      <c r="AI6" s="316">
        <v>74.97</v>
      </c>
      <c r="AJ6" s="316">
        <v>3094.8</v>
      </c>
      <c r="AK6" s="316">
        <v>3172.17</v>
      </c>
      <c r="AL6" s="317" t="s">
        <v>544</v>
      </c>
      <c r="AM6" s="317" t="s">
        <v>544</v>
      </c>
      <c r="AN6" s="316">
        <v>0</v>
      </c>
      <c r="AO6" s="316">
        <v>0</v>
      </c>
      <c r="AP6" s="317" t="s">
        <v>544</v>
      </c>
      <c r="AQ6" s="316">
        <v>74.97</v>
      </c>
      <c r="AR6" s="316">
        <v>3172.17</v>
      </c>
      <c r="AS6" s="317" t="s">
        <v>544</v>
      </c>
      <c r="AT6" s="316">
        <v>34.369999999999997</v>
      </c>
      <c r="AU6" s="316">
        <v>2.11</v>
      </c>
      <c r="AV6" s="316">
        <v>34.369999999999997</v>
      </c>
      <c r="AW6" s="316">
        <v>0</v>
      </c>
      <c r="AX6" s="317" t="s">
        <v>544</v>
      </c>
      <c r="AY6" s="317" t="s">
        <v>544</v>
      </c>
      <c r="AZ6" s="316">
        <v>80</v>
      </c>
      <c r="BA6" s="317" t="s">
        <v>544</v>
      </c>
      <c r="BB6" s="317" t="s">
        <v>544</v>
      </c>
      <c r="BC6" s="316">
        <v>0</v>
      </c>
      <c r="BD6" s="316">
        <v>0</v>
      </c>
      <c r="BE6" s="316">
        <v>0</v>
      </c>
      <c r="BF6" s="316">
        <v>186.96</v>
      </c>
      <c r="BG6" s="316">
        <v>0</v>
      </c>
      <c r="BH6" s="316">
        <v>186.96</v>
      </c>
      <c r="BI6" s="316">
        <v>0</v>
      </c>
      <c r="BJ6" s="317" t="s">
        <v>544</v>
      </c>
      <c r="BK6" s="317" t="s">
        <v>544</v>
      </c>
      <c r="BL6" s="316">
        <v>0.61</v>
      </c>
      <c r="BM6" s="316">
        <v>0.14000000000000001</v>
      </c>
      <c r="BN6" s="316">
        <v>2.5</v>
      </c>
      <c r="BO6" s="317" t="s">
        <v>544</v>
      </c>
      <c r="BP6" s="317" t="s">
        <v>544</v>
      </c>
      <c r="BQ6" s="317" t="s">
        <v>544</v>
      </c>
      <c r="BR6" s="316">
        <v>3.4084984199999999</v>
      </c>
      <c r="BS6" s="316">
        <v>0.44227561999999998</v>
      </c>
      <c r="BT6" s="317" t="s">
        <v>544</v>
      </c>
      <c r="BU6" s="317" t="s">
        <v>544</v>
      </c>
      <c r="BV6" s="316">
        <v>41.799285480000002</v>
      </c>
      <c r="BW6" s="317" t="s">
        <v>544</v>
      </c>
      <c r="BX6" s="317" t="s">
        <v>544</v>
      </c>
      <c r="BY6" s="317" t="s">
        <v>544</v>
      </c>
      <c r="BZ6" s="317" t="s">
        <v>544</v>
      </c>
      <c r="CA6" s="317" t="s">
        <v>544</v>
      </c>
      <c r="CB6" s="316">
        <v>0.30014073000000002</v>
      </c>
      <c r="CC6" s="316">
        <v>41.799285480000002</v>
      </c>
      <c r="CD6" s="316">
        <v>83.598570960000004</v>
      </c>
      <c r="CE6" s="317" t="s">
        <v>544</v>
      </c>
      <c r="CF6" s="317" t="s">
        <v>544</v>
      </c>
      <c r="CG6" s="316">
        <v>0.51075846000000003</v>
      </c>
      <c r="CH6" s="316">
        <v>0</v>
      </c>
      <c r="CI6" s="316">
        <v>0</v>
      </c>
      <c r="CJ6" s="319">
        <v>0.20499999999999999</v>
      </c>
      <c r="CK6" s="316">
        <v>68.790000000000006</v>
      </c>
      <c r="CL6" s="316">
        <v>5058.54</v>
      </c>
      <c r="CM6" s="319">
        <v>1.3599999999999999E-2</v>
      </c>
      <c r="CN6" s="316">
        <v>317.17</v>
      </c>
      <c r="CO6" s="316">
        <v>5058.54</v>
      </c>
      <c r="CP6" s="319">
        <v>6.2700000000000006E-2</v>
      </c>
      <c r="CQ6" s="316">
        <v>927319924</v>
      </c>
      <c r="CR6" s="316" t="s">
        <v>549</v>
      </c>
      <c r="CS6" s="316" t="s">
        <v>564</v>
      </c>
      <c r="CT6" s="316" t="s">
        <v>565</v>
      </c>
      <c r="CU6" s="320">
        <v>2010.35</v>
      </c>
      <c r="CV6" s="320">
        <v>5044.7</v>
      </c>
      <c r="CW6" s="320">
        <v>5044.7</v>
      </c>
    </row>
    <row r="7" spans="1:101" x14ac:dyDescent="0.25">
      <c r="A7" s="316" t="s">
        <v>566</v>
      </c>
      <c r="B7" s="316" t="s">
        <v>553</v>
      </c>
      <c r="C7" s="316" t="s">
        <v>540</v>
      </c>
      <c r="D7" s="316" t="s">
        <v>541</v>
      </c>
      <c r="E7" s="316">
        <v>4412.8</v>
      </c>
      <c r="F7" s="316" t="s">
        <v>542</v>
      </c>
      <c r="G7" s="316" t="s">
        <v>543</v>
      </c>
      <c r="H7" s="317" t="s">
        <v>544</v>
      </c>
      <c r="I7" s="317" t="s">
        <v>544</v>
      </c>
      <c r="J7" s="316" t="s">
        <v>545</v>
      </c>
      <c r="K7" s="318">
        <v>45988</v>
      </c>
      <c r="L7" s="318">
        <v>46020</v>
      </c>
      <c r="M7" s="318">
        <v>45931</v>
      </c>
      <c r="N7" s="318">
        <v>45991</v>
      </c>
      <c r="O7" s="318">
        <v>45961</v>
      </c>
      <c r="P7" s="318">
        <v>45930</v>
      </c>
      <c r="Q7" s="316">
        <v>31</v>
      </c>
      <c r="R7" s="316">
        <v>0</v>
      </c>
      <c r="S7" s="317" t="s">
        <v>544</v>
      </c>
      <c r="T7" s="317" t="s">
        <v>544</v>
      </c>
      <c r="U7" s="316">
        <v>80</v>
      </c>
      <c r="V7" s="317" t="s">
        <v>544</v>
      </c>
      <c r="W7" s="317" t="s">
        <v>544</v>
      </c>
      <c r="X7" s="316" t="s">
        <v>546</v>
      </c>
      <c r="Y7" s="316" t="s">
        <v>547</v>
      </c>
      <c r="Z7" s="316" t="s">
        <v>548</v>
      </c>
      <c r="AA7" s="316">
        <v>7041435180</v>
      </c>
      <c r="AB7" s="316">
        <v>11039337</v>
      </c>
      <c r="AC7" s="316">
        <v>2151.4899999999998</v>
      </c>
      <c r="AD7" s="316">
        <v>2205.2800000000002</v>
      </c>
      <c r="AE7" s="316">
        <v>0</v>
      </c>
      <c r="AF7" s="316">
        <v>2205.2800000000002</v>
      </c>
      <c r="AG7" s="317" t="s">
        <v>544</v>
      </c>
      <c r="AH7" s="316">
        <v>89.89</v>
      </c>
      <c r="AI7" s="316">
        <v>92.14</v>
      </c>
      <c r="AJ7" s="316">
        <v>2061.6</v>
      </c>
      <c r="AK7" s="316">
        <v>2113.14</v>
      </c>
      <c r="AL7" s="317" t="s">
        <v>544</v>
      </c>
      <c r="AM7" s="317" t="s">
        <v>544</v>
      </c>
      <c r="AN7" s="316">
        <v>0</v>
      </c>
      <c r="AO7" s="316">
        <v>0</v>
      </c>
      <c r="AP7" s="317" t="s">
        <v>544</v>
      </c>
      <c r="AQ7" s="316">
        <v>92.14</v>
      </c>
      <c r="AR7" s="316">
        <v>2113.14</v>
      </c>
      <c r="AS7" s="317" t="s">
        <v>544</v>
      </c>
      <c r="AT7" s="316">
        <v>29.23</v>
      </c>
      <c r="AU7" s="316">
        <v>2.54</v>
      </c>
      <c r="AV7" s="316">
        <v>29.23</v>
      </c>
      <c r="AW7" s="316">
        <v>0</v>
      </c>
      <c r="AX7" s="317" t="s">
        <v>544</v>
      </c>
      <c r="AY7" s="317" t="s">
        <v>544</v>
      </c>
      <c r="AZ7" s="316">
        <v>80</v>
      </c>
      <c r="BA7" s="317" t="s">
        <v>544</v>
      </c>
      <c r="BB7" s="317" t="s">
        <v>544</v>
      </c>
      <c r="BC7" s="316">
        <v>469.39</v>
      </c>
      <c r="BD7" s="316">
        <v>42.19</v>
      </c>
      <c r="BE7" s="316">
        <v>427.2</v>
      </c>
      <c r="BF7" s="316">
        <v>96.8</v>
      </c>
      <c r="BG7" s="316">
        <v>9.4700000000000006</v>
      </c>
      <c r="BH7" s="316">
        <v>87.33</v>
      </c>
      <c r="BI7" s="316">
        <v>0</v>
      </c>
      <c r="BJ7" s="317" t="s">
        <v>544</v>
      </c>
      <c r="BK7" s="317" t="s">
        <v>544</v>
      </c>
      <c r="BL7" s="316">
        <v>0.51</v>
      </c>
      <c r="BM7" s="316">
        <v>0.1</v>
      </c>
      <c r="BN7" s="316">
        <v>2.5</v>
      </c>
      <c r="BO7" s="317" t="s">
        <v>544</v>
      </c>
      <c r="BP7" s="317" t="s">
        <v>544</v>
      </c>
      <c r="BQ7" s="317" t="s">
        <v>544</v>
      </c>
      <c r="BR7" s="316">
        <v>3.38322587</v>
      </c>
      <c r="BS7" s="316">
        <v>0.43899633999999998</v>
      </c>
      <c r="BT7" s="317" t="s">
        <v>544</v>
      </c>
      <c r="BU7" s="317" t="s">
        <v>544</v>
      </c>
      <c r="BV7" s="316">
        <v>41.489361700000003</v>
      </c>
      <c r="BW7" s="317" t="s">
        <v>544</v>
      </c>
      <c r="BX7" s="317" t="s">
        <v>544</v>
      </c>
      <c r="BY7" s="317" t="s">
        <v>544</v>
      </c>
      <c r="BZ7" s="317" t="s">
        <v>544</v>
      </c>
      <c r="CA7" s="317" t="s">
        <v>544</v>
      </c>
      <c r="CB7" s="316">
        <v>0.29791531999999998</v>
      </c>
      <c r="CC7" s="316">
        <v>41.489361700000003</v>
      </c>
      <c r="CD7" s="316">
        <v>82.978723400000007</v>
      </c>
      <c r="CE7" s="317" t="s">
        <v>544</v>
      </c>
      <c r="CF7" s="317" t="s">
        <v>544</v>
      </c>
      <c r="CG7" s="316">
        <v>0.56200726999999995</v>
      </c>
      <c r="CH7" s="316">
        <v>0</v>
      </c>
      <c r="CI7" s="316">
        <v>0</v>
      </c>
      <c r="CJ7" s="319">
        <v>0.20499999999999999</v>
      </c>
      <c r="CK7" s="316">
        <v>56.88</v>
      </c>
      <c r="CL7" s="316">
        <v>4587.34</v>
      </c>
      <c r="CM7" s="319">
        <v>1.24E-2</v>
      </c>
      <c r="CN7" s="316">
        <v>261.47000000000003</v>
      </c>
      <c r="CO7" s="316">
        <v>4587.34</v>
      </c>
      <c r="CP7" s="319">
        <v>5.7000000000000002E-2</v>
      </c>
      <c r="CQ7" s="316">
        <v>919897917</v>
      </c>
      <c r="CR7" s="316" t="s">
        <v>549</v>
      </c>
      <c r="CS7" s="316" t="s">
        <v>567</v>
      </c>
      <c r="CT7" s="316" t="s">
        <v>568</v>
      </c>
      <c r="CU7" s="320">
        <v>2167.54</v>
      </c>
      <c r="CV7" s="320">
        <v>4260.78</v>
      </c>
      <c r="CW7" s="320">
        <v>4260.78</v>
      </c>
    </row>
    <row r="8" spans="1:101" x14ac:dyDescent="0.25">
      <c r="A8" s="316" t="s">
        <v>569</v>
      </c>
      <c r="B8" s="316" t="s">
        <v>553</v>
      </c>
      <c r="C8" s="316" t="s">
        <v>540</v>
      </c>
      <c r="D8" s="316" t="s">
        <v>541</v>
      </c>
      <c r="E8" s="316">
        <v>4004.54</v>
      </c>
      <c r="F8" s="316" t="s">
        <v>542</v>
      </c>
      <c r="G8" s="316" t="s">
        <v>543</v>
      </c>
      <c r="H8" s="317" t="s">
        <v>544</v>
      </c>
      <c r="I8" s="317" t="s">
        <v>544</v>
      </c>
      <c r="J8" s="316" t="s">
        <v>545</v>
      </c>
      <c r="K8" s="318">
        <v>45897</v>
      </c>
      <c r="L8" s="318">
        <v>45929</v>
      </c>
      <c r="M8" s="318">
        <v>45839</v>
      </c>
      <c r="N8" s="318">
        <v>45900</v>
      </c>
      <c r="O8" s="318">
        <v>45869</v>
      </c>
      <c r="P8" s="318">
        <v>45838</v>
      </c>
      <c r="Q8" s="316">
        <v>31</v>
      </c>
      <c r="R8" s="316">
        <v>0</v>
      </c>
      <c r="S8" s="317" t="s">
        <v>544</v>
      </c>
      <c r="T8" s="317" t="s">
        <v>544</v>
      </c>
      <c r="U8" s="316">
        <v>80</v>
      </c>
      <c r="V8" s="317" t="s">
        <v>544</v>
      </c>
      <c r="W8" s="317" t="s">
        <v>544</v>
      </c>
      <c r="X8" s="316" t="s">
        <v>546</v>
      </c>
      <c r="Y8" s="316" t="s">
        <v>547</v>
      </c>
      <c r="Z8" s="316" t="s">
        <v>548</v>
      </c>
      <c r="AA8" s="316">
        <v>7041435180</v>
      </c>
      <c r="AB8" s="316">
        <v>11039337</v>
      </c>
      <c r="AC8" s="316">
        <v>1408.27</v>
      </c>
      <c r="AD8" s="316">
        <v>1443.48</v>
      </c>
      <c r="AE8" s="316">
        <v>0</v>
      </c>
      <c r="AF8" s="316">
        <v>1443.48</v>
      </c>
      <c r="AG8" s="317" t="s">
        <v>544</v>
      </c>
      <c r="AH8" s="316">
        <v>73.87</v>
      </c>
      <c r="AI8" s="316">
        <v>75.72</v>
      </c>
      <c r="AJ8" s="316">
        <v>1334.4</v>
      </c>
      <c r="AK8" s="316">
        <v>1367.76</v>
      </c>
      <c r="AL8" s="317" t="s">
        <v>544</v>
      </c>
      <c r="AM8" s="317" t="s">
        <v>544</v>
      </c>
      <c r="AN8" s="316">
        <v>0</v>
      </c>
      <c r="AO8" s="316">
        <v>0</v>
      </c>
      <c r="AP8" s="317" t="s">
        <v>544</v>
      </c>
      <c r="AQ8" s="316">
        <v>75.72</v>
      </c>
      <c r="AR8" s="316">
        <v>1367.76</v>
      </c>
      <c r="AS8" s="317" t="s">
        <v>544</v>
      </c>
      <c r="AT8" s="316">
        <v>25.97</v>
      </c>
      <c r="AU8" s="316">
        <v>1.58</v>
      </c>
      <c r="AV8" s="316">
        <v>25.97</v>
      </c>
      <c r="AW8" s="316">
        <v>0</v>
      </c>
      <c r="AX8" s="317" t="s">
        <v>544</v>
      </c>
      <c r="AY8" s="317" t="s">
        <v>544</v>
      </c>
      <c r="AZ8" s="316">
        <v>80</v>
      </c>
      <c r="BA8" s="317" t="s">
        <v>544</v>
      </c>
      <c r="BB8" s="317" t="s">
        <v>544</v>
      </c>
      <c r="BC8" s="316">
        <v>731.51</v>
      </c>
      <c r="BD8" s="316">
        <v>67.91</v>
      </c>
      <c r="BE8" s="316">
        <v>663.6</v>
      </c>
      <c r="BF8" s="316">
        <v>89.54</v>
      </c>
      <c r="BG8" s="316">
        <v>18.2</v>
      </c>
      <c r="BH8" s="316">
        <v>71.34</v>
      </c>
      <c r="BI8" s="316">
        <v>0</v>
      </c>
      <c r="BJ8" s="317" t="s">
        <v>544</v>
      </c>
      <c r="BK8" s="317" t="s">
        <v>544</v>
      </c>
      <c r="BL8" s="316">
        <v>0.68</v>
      </c>
      <c r="BM8" s="316">
        <v>0.08</v>
      </c>
      <c r="BN8" s="316">
        <v>2.5</v>
      </c>
      <c r="BO8" s="317" t="s">
        <v>544</v>
      </c>
      <c r="BP8" s="317" t="s">
        <v>544</v>
      </c>
      <c r="BQ8" s="317" t="s">
        <v>544</v>
      </c>
      <c r="BR8" s="316">
        <v>3.3597588200000001</v>
      </c>
      <c r="BS8" s="316">
        <v>0.43595133000000003</v>
      </c>
      <c r="BT8" s="317" t="s">
        <v>544</v>
      </c>
      <c r="BU8" s="317" t="s">
        <v>544</v>
      </c>
      <c r="BV8" s="316">
        <v>41.201579340000002</v>
      </c>
      <c r="BW8" s="317" t="s">
        <v>544</v>
      </c>
      <c r="BX8" s="317" t="s">
        <v>544</v>
      </c>
      <c r="BY8" s="317" t="s">
        <v>544</v>
      </c>
      <c r="BZ8" s="317" t="s">
        <v>544</v>
      </c>
      <c r="CA8" s="317" t="s">
        <v>544</v>
      </c>
      <c r="CB8" s="316">
        <v>0.29584888999999998</v>
      </c>
      <c r="CC8" s="316">
        <v>41.201579340000002</v>
      </c>
      <c r="CD8" s="316">
        <v>82.403158680000004</v>
      </c>
      <c r="CE8" s="317" t="s">
        <v>544</v>
      </c>
      <c r="CF8" s="317" t="s">
        <v>544</v>
      </c>
      <c r="CG8" s="316">
        <v>0.58931798999999996</v>
      </c>
      <c r="CH8" s="316">
        <v>0</v>
      </c>
      <c r="CI8" s="316">
        <v>0</v>
      </c>
      <c r="CJ8" s="319">
        <v>0.20499999999999999</v>
      </c>
      <c r="CK8" s="316">
        <v>47.15</v>
      </c>
      <c r="CL8" s="316">
        <v>4173.26</v>
      </c>
      <c r="CM8" s="319">
        <v>1.1299999999999999E-2</v>
      </c>
      <c r="CN8" s="316">
        <v>215.34</v>
      </c>
      <c r="CO8" s="316">
        <v>4173.26</v>
      </c>
      <c r="CP8" s="319">
        <v>5.16E-2</v>
      </c>
      <c r="CQ8" s="316">
        <v>897725540</v>
      </c>
      <c r="CR8" s="316" t="s">
        <v>549</v>
      </c>
      <c r="CS8" s="316" t="s">
        <v>570</v>
      </c>
      <c r="CT8" s="316" t="s">
        <v>571</v>
      </c>
      <c r="CU8" s="320">
        <v>2237.6799999999998</v>
      </c>
      <c r="CV8" s="320">
        <v>0</v>
      </c>
      <c r="CW8" s="320">
        <v>0</v>
      </c>
    </row>
    <row r="9" spans="1:101" x14ac:dyDescent="0.25">
      <c r="A9" s="316" t="s">
        <v>572</v>
      </c>
      <c r="B9" s="316" t="s">
        <v>553</v>
      </c>
      <c r="C9" s="316" t="s">
        <v>540</v>
      </c>
      <c r="D9" s="316" t="s">
        <v>541</v>
      </c>
      <c r="E9" s="316">
        <v>1726.23</v>
      </c>
      <c r="F9" s="316" t="s">
        <v>542</v>
      </c>
      <c r="G9" s="316" t="s">
        <v>543</v>
      </c>
      <c r="H9" s="317" t="s">
        <v>544</v>
      </c>
      <c r="I9" s="317" t="s">
        <v>544</v>
      </c>
      <c r="J9" s="316" t="s">
        <v>545</v>
      </c>
      <c r="K9" s="318">
        <v>45834</v>
      </c>
      <c r="L9" s="318">
        <v>45866</v>
      </c>
      <c r="M9" s="318">
        <v>45778</v>
      </c>
      <c r="N9" s="318">
        <v>45838</v>
      </c>
      <c r="O9" s="318">
        <v>45808</v>
      </c>
      <c r="P9" s="318">
        <v>45777</v>
      </c>
      <c r="Q9" s="316">
        <v>31</v>
      </c>
      <c r="R9" s="316">
        <v>0</v>
      </c>
      <c r="S9" s="317" t="s">
        <v>544</v>
      </c>
      <c r="T9" s="317" t="s">
        <v>544</v>
      </c>
      <c r="U9" s="316">
        <v>80</v>
      </c>
      <c r="V9" s="317" t="s">
        <v>544</v>
      </c>
      <c r="W9" s="317" t="s">
        <v>544</v>
      </c>
      <c r="X9" s="316" t="s">
        <v>546</v>
      </c>
      <c r="Y9" s="316" t="s">
        <v>547</v>
      </c>
      <c r="Z9" s="316" t="s">
        <v>548</v>
      </c>
      <c r="AA9" s="316">
        <v>7041435180</v>
      </c>
      <c r="AB9" s="316">
        <v>11039337</v>
      </c>
      <c r="AC9" s="316">
        <v>972.29</v>
      </c>
      <c r="AD9" s="316">
        <v>996.6</v>
      </c>
      <c r="AE9" s="316">
        <v>0</v>
      </c>
      <c r="AF9" s="316">
        <v>996.6</v>
      </c>
      <c r="AG9" s="317" t="s">
        <v>544</v>
      </c>
      <c r="AH9" s="316">
        <v>59.09</v>
      </c>
      <c r="AI9" s="316">
        <v>60.57</v>
      </c>
      <c r="AJ9" s="316">
        <v>913.2</v>
      </c>
      <c r="AK9" s="316">
        <v>936.03</v>
      </c>
      <c r="AL9" s="317" t="s">
        <v>544</v>
      </c>
      <c r="AM9" s="317" t="s">
        <v>544</v>
      </c>
      <c r="AN9" s="316">
        <v>0</v>
      </c>
      <c r="AO9" s="316">
        <v>0</v>
      </c>
      <c r="AP9" s="317" t="s">
        <v>544</v>
      </c>
      <c r="AQ9" s="316">
        <v>60.57</v>
      </c>
      <c r="AR9" s="316">
        <v>936.03</v>
      </c>
      <c r="AS9" s="317" t="s">
        <v>544</v>
      </c>
      <c r="AT9" s="316">
        <v>14.45</v>
      </c>
      <c r="AU9" s="316">
        <v>2.21</v>
      </c>
      <c r="AV9" s="316">
        <v>14.45</v>
      </c>
      <c r="AW9" s="316">
        <v>0</v>
      </c>
      <c r="AX9" s="317" t="s">
        <v>544</v>
      </c>
      <c r="AY9" s="317" t="s">
        <v>544</v>
      </c>
      <c r="AZ9" s="316">
        <v>30</v>
      </c>
      <c r="BA9" s="317" t="s">
        <v>544</v>
      </c>
      <c r="BB9" s="317" t="s">
        <v>544</v>
      </c>
      <c r="BC9" s="316">
        <v>708.1</v>
      </c>
      <c r="BD9" s="316">
        <v>63.7</v>
      </c>
      <c r="BE9" s="316">
        <v>644.4</v>
      </c>
      <c r="BF9" s="316">
        <v>0</v>
      </c>
      <c r="BG9" s="316">
        <v>0</v>
      </c>
      <c r="BH9" s="316">
        <v>0</v>
      </c>
      <c r="BI9" s="316">
        <v>0</v>
      </c>
      <c r="BJ9" s="317" t="s">
        <v>544</v>
      </c>
      <c r="BK9" s="317" t="s">
        <v>544</v>
      </c>
      <c r="BL9" s="316">
        <v>0.42</v>
      </c>
      <c r="BM9" s="316">
        <v>0.09</v>
      </c>
      <c r="BN9" s="316">
        <v>2.5</v>
      </c>
      <c r="BO9" s="317" t="s">
        <v>544</v>
      </c>
      <c r="BP9" s="317" t="s">
        <v>544</v>
      </c>
      <c r="BQ9" s="317" t="s">
        <v>544</v>
      </c>
      <c r="BR9" s="316">
        <v>3.2797500099999999</v>
      </c>
      <c r="BS9" s="316">
        <v>0.40200607999999999</v>
      </c>
      <c r="BT9" s="317" t="s">
        <v>544</v>
      </c>
      <c r="BU9" s="317" t="s">
        <v>544</v>
      </c>
      <c r="BV9" s="316">
        <v>40.552462970000001</v>
      </c>
      <c r="BW9" s="317" t="s">
        <v>544</v>
      </c>
      <c r="BX9" s="317" t="s">
        <v>544</v>
      </c>
      <c r="BY9" s="317" t="s">
        <v>544</v>
      </c>
      <c r="BZ9" s="317" t="s">
        <v>544</v>
      </c>
      <c r="CA9" s="317" t="s">
        <v>544</v>
      </c>
      <c r="CB9" s="316">
        <v>0.2911879</v>
      </c>
      <c r="CC9" s="316">
        <v>40.552462970000001</v>
      </c>
      <c r="CD9" s="316">
        <v>81.104925940000001</v>
      </c>
      <c r="CE9" s="317" t="s">
        <v>544</v>
      </c>
      <c r="CF9" s="317" t="s">
        <v>544</v>
      </c>
      <c r="CG9" s="316">
        <v>0.57689822999999996</v>
      </c>
      <c r="CH9" s="316">
        <v>0</v>
      </c>
      <c r="CI9" s="316">
        <v>0</v>
      </c>
      <c r="CJ9" s="319">
        <v>0.20499999999999999</v>
      </c>
      <c r="CK9" s="316">
        <v>15.4</v>
      </c>
      <c r="CL9" s="316">
        <v>1791.5</v>
      </c>
      <c r="CM9" s="319">
        <v>8.6E-3</v>
      </c>
      <c r="CN9" s="316">
        <v>70.400000000000006</v>
      </c>
      <c r="CO9" s="316">
        <v>1791.5</v>
      </c>
      <c r="CP9" s="319">
        <v>3.9300000000000002E-2</v>
      </c>
      <c r="CQ9" s="316">
        <v>882088156</v>
      </c>
      <c r="CR9" s="316" t="s">
        <v>549</v>
      </c>
      <c r="CS9" s="316" t="s">
        <v>573</v>
      </c>
      <c r="CT9" s="316" t="s">
        <v>574</v>
      </c>
      <c r="CU9" s="320">
        <v>587.45000000000005</v>
      </c>
      <c r="CV9" s="320">
        <v>0</v>
      </c>
      <c r="CW9" s="320">
        <v>0</v>
      </c>
    </row>
    <row r="10" spans="1:101" x14ac:dyDescent="0.25">
      <c r="A10" s="316"/>
      <c r="B10" s="316"/>
      <c r="C10" s="316"/>
      <c r="D10" s="316"/>
      <c r="E10" s="316"/>
      <c r="F10" s="316"/>
      <c r="G10" s="316"/>
      <c r="H10" s="317"/>
      <c r="I10" s="317"/>
      <c r="J10" s="316"/>
      <c r="K10" s="318"/>
      <c r="L10" s="318"/>
      <c r="M10" s="318"/>
      <c r="N10" s="318"/>
      <c r="O10" s="318"/>
      <c r="P10" s="318"/>
      <c r="Q10" s="316"/>
      <c r="R10" s="316"/>
      <c r="S10" s="317"/>
      <c r="T10" s="317"/>
      <c r="U10" s="317"/>
      <c r="V10" s="317"/>
      <c r="W10" s="317"/>
      <c r="X10" s="316"/>
      <c r="Y10" s="316"/>
      <c r="Z10" s="316"/>
      <c r="AA10" s="316"/>
      <c r="AB10" s="316"/>
      <c r="AC10" s="316"/>
      <c r="AD10" s="317"/>
      <c r="AE10" s="317"/>
      <c r="AF10" s="316"/>
      <c r="AG10" s="317"/>
      <c r="AH10" s="317"/>
      <c r="AI10" s="317"/>
      <c r="AJ10" s="317"/>
      <c r="AK10" s="317"/>
      <c r="AL10" s="317"/>
      <c r="AM10" s="317"/>
      <c r="AN10" s="317"/>
      <c r="AO10" s="317"/>
      <c r="AP10" s="317"/>
      <c r="AQ10" s="317"/>
      <c r="AR10" s="317"/>
      <c r="AS10" s="317"/>
      <c r="AT10" s="317"/>
      <c r="AU10" s="317"/>
      <c r="AV10" s="317"/>
      <c r="AW10" s="317"/>
      <c r="AX10" s="317"/>
      <c r="AY10" s="317"/>
      <c r="AZ10" s="317"/>
      <c r="BA10" s="317"/>
      <c r="BB10" s="317"/>
      <c r="BC10" s="316"/>
      <c r="BD10" s="317"/>
      <c r="BE10" s="317"/>
      <c r="BF10" s="317"/>
      <c r="BG10" s="317"/>
      <c r="BH10" s="317"/>
      <c r="BI10" s="317"/>
      <c r="BJ10" s="317"/>
      <c r="BK10" s="317"/>
      <c r="BL10" s="317"/>
      <c r="BM10" s="317"/>
      <c r="BN10" s="317"/>
      <c r="BO10" s="317"/>
      <c r="BP10" s="317"/>
      <c r="BQ10" s="317"/>
      <c r="BR10" s="317"/>
      <c r="BS10" s="317"/>
      <c r="BT10" s="317"/>
      <c r="BU10" s="316"/>
      <c r="BV10" s="317"/>
      <c r="BW10" s="317"/>
      <c r="BX10" s="317"/>
      <c r="BY10" s="317"/>
      <c r="BZ10" s="317"/>
      <c r="CA10" s="317"/>
      <c r="CB10" s="317"/>
      <c r="CC10" s="317"/>
      <c r="CD10" s="317"/>
      <c r="CE10" s="317"/>
      <c r="CF10" s="317"/>
      <c r="CG10" s="316"/>
      <c r="CH10" s="316"/>
      <c r="CI10" s="316"/>
      <c r="CJ10" s="319"/>
      <c r="CK10" s="316"/>
      <c r="CL10" s="316"/>
      <c r="CM10" s="319"/>
      <c r="CN10" s="316"/>
      <c r="CO10" s="316"/>
      <c r="CP10" s="319"/>
      <c r="CQ10" s="316"/>
      <c r="CR10" s="316"/>
      <c r="CS10" s="316"/>
      <c r="CT10" s="316"/>
      <c r="CU10" s="320"/>
      <c r="CV10" s="320"/>
      <c r="CW10" s="320"/>
    </row>
    <row r="11" spans="1:101" x14ac:dyDescent="0.25">
      <c r="A11" s="316"/>
      <c r="B11" s="316"/>
      <c r="C11" s="316"/>
      <c r="D11" s="316"/>
      <c r="E11" s="316"/>
      <c r="F11" s="316"/>
      <c r="G11" s="316"/>
      <c r="H11" s="317"/>
      <c r="I11" s="317"/>
      <c r="J11" s="316"/>
      <c r="K11" s="318"/>
      <c r="L11" s="318"/>
      <c r="M11" s="318"/>
      <c r="N11" s="318"/>
      <c r="O11" s="318"/>
      <c r="P11" s="318"/>
      <c r="Q11" s="316"/>
      <c r="R11" s="316"/>
      <c r="S11" s="317"/>
      <c r="T11" s="317"/>
      <c r="U11" s="317"/>
      <c r="V11" s="317"/>
      <c r="W11" s="317"/>
      <c r="X11" s="316"/>
      <c r="Y11" s="316"/>
      <c r="Z11" s="316"/>
      <c r="AA11" s="316"/>
      <c r="AB11" s="316"/>
      <c r="AC11" s="316"/>
      <c r="AD11" s="317"/>
      <c r="AE11" s="317"/>
      <c r="AF11" s="316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6"/>
      <c r="BD11" s="317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7"/>
      <c r="BS11" s="317"/>
      <c r="BT11" s="317"/>
      <c r="BU11" s="316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6"/>
      <c r="CH11" s="316"/>
      <c r="CI11" s="316"/>
      <c r="CJ11" s="319"/>
      <c r="CK11" s="316"/>
      <c r="CL11" s="316"/>
      <c r="CM11" s="319"/>
      <c r="CN11" s="316"/>
      <c r="CO11" s="316"/>
      <c r="CP11" s="319"/>
      <c r="CQ11" s="316"/>
      <c r="CR11" s="316"/>
      <c r="CS11" s="316"/>
      <c r="CT11" s="316"/>
      <c r="CU11" s="320"/>
      <c r="CV11" s="320"/>
      <c r="CW11" s="320"/>
    </row>
    <row r="12" spans="1:101" x14ac:dyDescent="0.25">
      <c r="A12" s="316"/>
      <c r="B12" s="316"/>
      <c r="C12" s="316"/>
      <c r="D12" s="316"/>
      <c r="E12" s="316"/>
      <c r="F12" s="316"/>
      <c r="G12" s="316"/>
      <c r="H12" s="317"/>
      <c r="I12" s="317"/>
      <c r="J12" s="316"/>
      <c r="K12" s="318"/>
      <c r="L12" s="318"/>
      <c r="M12" s="318"/>
      <c r="N12" s="318"/>
      <c r="O12" s="318"/>
      <c r="P12" s="318"/>
      <c r="Q12" s="316"/>
      <c r="R12" s="316"/>
      <c r="S12" s="317"/>
      <c r="T12" s="317"/>
      <c r="U12" s="317"/>
      <c r="V12" s="317"/>
      <c r="W12" s="317"/>
      <c r="X12" s="316"/>
      <c r="Y12" s="316"/>
      <c r="Z12" s="316"/>
      <c r="AA12" s="316"/>
      <c r="AB12" s="316"/>
      <c r="AC12" s="316"/>
      <c r="AD12" s="317"/>
      <c r="AE12" s="317"/>
      <c r="AF12" s="316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6"/>
      <c r="BD12" s="317"/>
      <c r="BE12" s="317"/>
      <c r="BF12" s="317"/>
      <c r="BG12" s="317"/>
      <c r="BH12" s="317"/>
      <c r="BI12" s="317"/>
      <c r="BJ12" s="317"/>
      <c r="BK12" s="317"/>
      <c r="BL12" s="317"/>
      <c r="BM12" s="317"/>
      <c r="BN12" s="317"/>
      <c r="BO12" s="317"/>
      <c r="BP12" s="317"/>
      <c r="BQ12" s="317"/>
      <c r="BR12" s="317"/>
      <c r="BS12" s="317"/>
      <c r="BT12" s="317"/>
      <c r="BU12" s="316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6"/>
      <c r="CH12" s="316"/>
      <c r="CI12" s="316"/>
      <c r="CJ12" s="319"/>
      <c r="CK12" s="316"/>
      <c r="CL12" s="316"/>
      <c r="CM12" s="319"/>
      <c r="CN12" s="316"/>
      <c r="CO12" s="316"/>
      <c r="CP12" s="319"/>
      <c r="CQ12" s="316"/>
      <c r="CR12" s="316"/>
      <c r="CS12" s="316"/>
      <c r="CT12" s="316"/>
      <c r="CU12" s="320"/>
      <c r="CV12" s="320"/>
      <c r="CW12" s="320"/>
    </row>
    <row r="13" spans="1:101" x14ac:dyDescent="0.25">
      <c r="A13" s="316"/>
      <c r="B13" s="316"/>
      <c r="C13" s="316"/>
      <c r="D13" s="316"/>
      <c r="E13" s="316"/>
      <c r="F13" s="316"/>
      <c r="G13" s="316"/>
      <c r="H13" s="317"/>
      <c r="I13" s="317"/>
      <c r="J13" s="316"/>
      <c r="K13" s="318"/>
      <c r="L13" s="318"/>
      <c r="M13" s="318"/>
      <c r="N13" s="318"/>
      <c r="O13" s="318"/>
      <c r="P13" s="318"/>
      <c r="Q13" s="316"/>
      <c r="R13" s="316"/>
      <c r="S13" s="317"/>
      <c r="T13" s="317"/>
      <c r="U13" s="317"/>
      <c r="V13" s="317"/>
      <c r="W13" s="317"/>
      <c r="X13" s="316"/>
      <c r="Y13" s="316"/>
      <c r="Z13" s="316"/>
      <c r="AA13" s="316"/>
      <c r="AB13" s="316"/>
      <c r="AC13" s="316"/>
      <c r="AD13" s="317"/>
      <c r="AE13" s="317"/>
      <c r="AF13" s="316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6"/>
      <c r="BD13" s="317"/>
      <c r="BE13" s="317"/>
      <c r="BF13" s="317"/>
      <c r="BG13" s="317"/>
      <c r="BH13" s="317"/>
      <c r="BI13" s="317"/>
      <c r="BJ13" s="317"/>
      <c r="BK13" s="317"/>
      <c r="BL13" s="317"/>
      <c r="BM13" s="317"/>
      <c r="BN13" s="317"/>
      <c r="BO13" s="317"/>
      <c r="BP13" s="317"/>
      <c r="BQ13" s="317"/>
      <c r="BR13" s="317"/>
      <c r="BS13" s="317"/>
      <c r="BT13" s="317"/>
      <c r="BU13" s="316"/>
      <c r="BV13" s="317"/>
      <c r="BW13" s="317"/>
      <c r="BX13" s="317"/>
      <c r="BY13" s="317"/>
      <c r="BZ13" s="317"/>
      <c r="CA13" s="317"/>
      <c r="CB13" s="317"/>
      <c r="CC13" s="317"/>
      <c r="CD13" s="317"/>
      <c r="CE13" s="317"/>
      <c r="CF13" s="317"/>
      <c r="CG13" s="316"/>
      <c r="CH13" s="316"/>
      <c r="CI13" s="316"/>
      <c r="CJ13" s="319"/>
      <c r="CK13" s="316"/>
      <c r="CL13" s="316"/>
      <c r="CM13" s="319"/>
      <c r="CN13" s="316"/>
      <c r="CO13" s="316"/>
      <c r="CP13" s="319"/>
      <c r="CQ13" s="316"/>
      <c r="CR13" s="316"/>
      <c r="CS13" s="316"/>
      <c r="CT13" s="316"/>
      <c r="CU13" s="320"/>
      <c r="CV13" s="320"/>
      <c r="CW13" s="320"/>
    </row>
  </sheetData>
  <sortState xmlns:xlrd2="http://schemas.microsoft.com/office/spreadsheetml/2017/richdata2" ref="A2:CW13">
    <sortCondition descending="1" ref="M1:M13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11" zoomScale="55" zoomScaleNormal="55" workbookViewId="0">
      <selection activeCell="C3" sqref="C3"/>
    </sheetView>
  </sheetViews>
  <sheetFormatPr defaultColWidth="8.5703125" defaultRowHeight="15" x14ac:dyDescent="0.25"/>
  <cols>
    <col min="1" max="1" width="48.28515625" customWidth="1"/>
    <col min="2" max="2" width="89.28515625" bestFit="1" customWidth="1"/>
    <col min="3" max="3" width="20.85546875" customWidth="1"/>
    <col min="4" max="4" width="25.5703125" bestFit="1" customWidth="1"/>
    <col min="5" max="5" width="28.5703125" customWidth="1"/>
    <col min="6" max="6" width="35.28515625" customWidth="1"/>
    <col min="7" max="7" width="26.5703125" customWidth="1"/>
    <col min="8" max="8" width="27.28515625" customWidth="1"/>
    <col min="9" max="9" width="33.85546875" customWidth="1"/>
  </cols>
  <sheetData>
    <row r="1" spans="1:2" ht="17.25" customHeight="1" x14ac:dyDescent="0.3">
      <c r="A1" s="1" t="s">
        <v>15</v>
      </c>
      <c r="B1" s="269" t="str">
        <f>_xlfn.XLOOKUP(MAX(FATURAS!M:M), FATURAS!M:M, FATURAS!F:F,,-1)</f>
        <v>MUNICIPIO DE SALVADOR 744 CMEI OLGA BENARIO</v>
      </c>
    </row>
    <row r="2" spans="1:2" ht="17.25" customHeight="1" x14ac:dyDescent="0.3">
      <c r="A2" s="5" t="s">
        <v>17</v>
      </c>
      <c r="B2" s="383">
        <f>_xlfn.XLOOKUP(MAX(FATURAS!M:M), FATURAS!M:M, FATURAS!AA:AA,,-1)</f>
        <v>7041435180</v>
      </c>
    </row>
    <row r="3" spans="1:2" ht="17.25" customHeight="1" x14ac:dyDescent="0.3">
      <c r="A3" s="5" t="s">
        <v>19</v>
      </c>
      <c r="B3" s="271" t="s">
        <v>575</v>
      </c>
    </row>
    <row r="4" spans="1:2" ht="17.25" customHeight="1" x14ac:dyDescent="0.3">
      <c r="A4" s="5" t="s">
        <v>21</v>
      </c>
      <c r="B4" s="298" t="s">
        <v>576</v>
      </c>
    </row>
    <row r="5" spans="1:2" ht="17.25" customHeight="1" x14ac:dyDescent="0.3">
      <c r="A5" s="5" t="s">
        <v>577</v>
      </c>
      <c r="B5" s="299" t="s">
        <v>578</v>
      </c>
    </row>
    <row r="6" spans="1:2" ht="17.25" customHeight="1" x14ac:dyDescent="0.3">
      <c r="A6" s="5" t="s">
        <v>23</v>
      </c>
      <c r="B6" s="301" t="s">
        <v>579</v>
      </c>
    </row>
    <row r="7" spans="1:2" ht="17.25" customHeight="1" x14ac:dyDescent="0.3">
      <c r="A7" s="5" t="s">
        <v>580</v>
      </c>
      <c r="B7" s="302" t="s">
        <v>581</v>
      </c>
    </row>
    <row r="8" spans="1:2" ht="17.25" customHeight="1" thickBot="1" x14ac:dyDescent="0.35">
      <c r="A8" s="9" t="s">
        <v>11</v>
      </c>
      <c r="B8" s="300">
        <v>46086</v>
      </c>
    </row>
    <row r="9" spans="1:2" ht="15" customHeight="1" thickBot="1" x14ac:dyDescent="0.35">
      <c r="A9" s="9" t="s">
        <v>582</v>
      </c>
      <c r="B9" s="270" t="s">
        <v>583</v>
      </c>
    </row>
    <row r="10" spans="1:2" ht="17.25" customHeight="1" x14ac:dyDescent="0.3">
      <c r="A10" s="10"/>
      <c r="B10" s="11"/>
    </row>
    <row r="11" spans="1:2" ht="17.25" customHeight="1" thickBot="1" x14ac:dyDescent="0.35">
      <c r="A11" s="10"/>
      <c r="B11" s="11"/>
    </row>
    <row r="12" spans="1:2" ht="17.25" customHeight="1" x14ac:dyDescent="0.3">
      <c r="A12" s="5" t="s">
        <v>584</v>
      </c>
      <c r="B12" s="12">
        <v>275</v>
      </c>
    </row>
    <row r="13" spans="1:2" ht="17.25" customHeight="1" x14ac:dyDescent="0.3">
      <c r="A13" s="5" t="s">
        <v>585</v>
      </c>
      <c r="B13" s="13">
        <f>AVERAGE(FATURAS!AF:AF)</f>
        <v>2342.81</v>
      </c>
    </row>
    <row r="14" spans="1:2" ht="17.25" customHeight="1" thickBot="1" x14ac:dyDescent="0.35">
      <c r="A14" s="5" t="s">
        <v>113</v>
      </c>
      <c r="B14" s="14">
        <f>(B13/B12)</f>
        <v>8.5193090909090898</v>
      </c>
    </row>
    <row r="15" spans="1:2" ht="15" customHeight="1" x14ac:dyDescent="0.25"/>
    <row r="16" spans="1:2" ht="17.25" customHeight="1" x14ac:dyDescent="0.3">
      <c r="A16" s="10"/>
      <c r="B16" s="16"/>
    </row>
    <row r="17" spans="1:2" ht="17.25" customHeight="1" x14ac:dyDescent="0.25"/>
    <row r="18" spans="1:2" ht="17.25" customHeight="1" x14ac:dyDescent="0.3">
      <c r="A18" s="5" t="s">
        <v>83</v>
      </c>
      <c r="B18" s="266" t="str">
        <f>_xlfn.XLOOKUP(MAX(FATURAS!M:M), FATURAS!M:M, FATURAS!X:X,,-1)</f>
        <v>Alta Tensão - Verde</v>
      </c>
    </row>
    <row r="19" spans="1:2" ht="17.25" customHeight="1" x14ac:dyDescent="0.3">
      <c r="A19" s="5" t="s">
        <v>85</v>
      </c>
      <c r="B19" s="266">
        <f>_xlfn.XLOOKUP(MAX(FATURAS!M:M), FATURAS!M:M, FATURAS!U:U,,-1)</f>
        <v>80</v>
      </c>
    </row>
    <row r="20" spans="1:2" ht="17.25" customHeight="1" x14ac:dyDescent="0.3">
      <c r="A20" s="5" t="s">
        <v>87</v>
      </c>
      <c r="B20" s="266">
        <f>_xlfn.XLOOKUP(MAX(FATURAS!M:M),FATURAS!M:M,FATURAS!AB:AB)</f>
        <v>11039337</v>
      </c>
    </row>
    <row r="21" spans="1:2" ht="17.25" customHeight="1" x14ac:dyDescent="0.3">
      <c r="A21" s="5" t="s">
        <v>89</v>
      </c>
      <c r="B21" s="266">
        <f>B2</f>
        <v>7041435180</v>
      </c>
    </row>
    <row r="22" spans="1:2" ht="17.25" customHeight="1" x14ac:dyDescent="0.3">
      <c r="A22" s="9" t="s">
        <v>90</v>
      </c>
      <c r="B22" s="267" t="str">
        <f>_xlfn.XLOOKUP(MAX(FATURAS!M:M), FATURAS!M:M, FATURAS!Y:Y,,-1)</f>
        <v>A4 Horo-sazonal Verde PODER PUBLICO MUNICIPAL</v>
      </c>
    </row>
    <row r="28" spans="1:2" ht="19.5" customHeight="1" thickBot="1" x14ac:dyDescent="0.35">
      <c r="A28" s="9" t="s">
        <v>586</v>
      </c>
      <c r="B28" s="17" t="s">
        <v>587</v>
      </c>
    </row>
    <row r="29" spans="1:2" ht="19.5" customHeight="1" thickBot="1" x14ac:dyDescent="0.35">
      <c r="A29" s="9" t="s">
        <v>588</v>
      </c>
      <c r="B29" s="246" t="str">
        <f>IF(LEFT(B22,1)="A","Grupo A",IF(LEFT(B22,1)="B","Grupo B",""))</f>
        <v>Grupo A</v>
      </c>
    </row>
    <row r="31" spans="1:2" ht="15.75" thickBot="1" x14ac:dyDescent="0.3"/>
    <row r="32" spans="1:2" ht="19.5" thickBot="1" x14ac:dyDescent="0.35">
      <c r="A32" s="245" t="s">
        <v>589</v>
      </c>
      <c r="B32" s="268">
        <f>SUMIF(FATURAS!M:M,MAX(FATURAS!M:M),FATURAS!E:E)</f>
        <v>4707.45</v>
      </c>
    </row>
    <row r="33" spans="1:9" ht="19.5" thickBot="1" x14ac:dyDescent="0.35">
      <c r="A33" s="245" t="s">
        <v>590</v>
      </c>
      <c r="B33" s="268" t="str">
        <f>FATURAS!J2</f>
        <v>Neoenergia Coelba - Bahia</v>
      </c>
    </row>
    <row r="34" spans="1:9" ht="19.5" thickBot="1" x14ac:dyDescent="0.35">
      <c r="A34" s="245" t="s">
        <v>591</v>
      </c>
      <c r="B34" s="268">
        <f>MAX(G37:G48)</f>
        <v>3562.9500000000003</v>
      </c>
    </row>
    <row r="35" spans="1:9" ht="15.75" customHeight="1" thickBot="1" x14ac:dyDescent="0.35">
      <c r="A35" s="245" t="s">
        <v>592</v>
      </c>
      <c r="B35" s="268" t="str">
        <f>INDEX(D37:D48,MATCH(MAX(G37:G48),G37:G48,0))</f>
        <v>dez/25</v>
      </c>
    </row>
    <row r="36" spans="1:9" ht="18.75" customHeight="1" thickBot="1" x14ac:dyDescent="0.35">
      <c r="A36" s="245" t="s">
        <v>593</v>
      </c>
      <c r="B36" s="268" t="str">
        <f>INDEX(D37:D48,MATCH(MIN(G37:G48),G37:G48,0))</f>
        <v>Sem Histórico Disponível</v>
      </c>
      <c r="D36" s="2" t="s">
        <v>594</v>
      </c>
      <c r="E36" s="3" t="s">
        <v>595</v>
      </c>
      <c r="F36" s="3" t="s">
        <v>596</v>
      </c>
      <c r="G36" s="3" t="s">
        <v>597</v>
      </c>
      <c r="H36" s="3" t="s">
        <v>598</v>
      </c>
      <c r="I36" s="4" t="s">
        <v>599</v>
      </c>
    </row>
    <row r="37" spans="1:9" ht="15.75" customHeight="1" thickBot="1" x14ac:dyDescent="0.35">
      <c r="A37" s="245" t="s">
        <v>600</v>
      </c>
      <c r="B37" s="268">
        <f ca="1">SUMIFS(FATURAS!E:E,FATURAS!M:M,"&gt;="&amp;DATE(YEAR(TODAY()),1,1),FATURAS!M:M,"&lt;="&amp;DATE(YEAR(TODAY()),12,31))</f>
        <v>12922.859999999999</v>
      </c>
      <c r="D37" s="371" t="str">
        <f>IFERROR(TEXT(SMALL(_xlfn.UNIQUE(FATURAS!M:M),1),"MMM/AA"),"")</f>
        <v>mai/25</v>
      </c>
      <c r="E37" s="7">
        <f>SUMIFS(FATURAS!AQ:AQ, FATURAS!M:M, SMALL(_xlfn.UNIQUE(FATURAS!M:M),1))</f>
        <v>60.57</v>
      </c>
      <c r="F37" s="7">
        <f>SUMIFS(FATURAS!AR:AR, FATURAS!M:M, SMALL(_xlfn.UNIQUE(FATURAS!M:M),1))</f>
        <v>936.03</v>
      </c>
      <c r="G37" s="7">
        <f t="shared" ref="G37:G48" si="0">SUM(E37+F37)</f>
        <v>996.6</v>
      </c>
      <c r="H37" s="7" cm="1">
        <f t="array" ref="H37">SUMPRODUCT(
(FATURAS!M2:M5000=SMALL(_xlfn.UNIQUE(FATURAS!M2:M5000),1))*
FATURAS!AU2:AU5000*
IF(ISNUMBER(FATURAS!BN2:BN5000),1+(FATURAS!BN2:BN5000/100),1))</f>
        <v>2.26525</v>
      </c>
      <c r="I37" s="8" cm="1">
        <f t="array" ref="I37">SUMPRODUCT((FATURAS!M2:M5000=SMALL(_xlfn.UNIQUE(FATURAS!M2:M5000),1))*FATURAS!AV2:AV5000*IF(ISNUMBER(FATURAS!BN2:BN5000),1+(FATURAS!BN2:BN5000/100),1))</f>
        <v>14.811249999999998</v>
      </c>
    </row>
    <row r="38" spans="1:9" ht="15.75" customHeight="1" thickBot="1" x14ac:dyDescent="0.35">
      <c r="A38" s="245" t="s">
        <v>273</v>
      </c>
      <c r="B38" s="268" cm="1">
        <f t="array" ref="B38">IFERROR(SUMPRODUCT(IFERROR(FATURAS!AD2:AD13/(FATURAS!AV2:AV13*FATURAS!Q2:Q13*24),0))/SUMPRODUCT((FATURAS!AV2:AV13&lt;&gt;0)*(FATURAS!Q2:Q13&lt;&gt;0)),0)</f>
        <v>0.11546735151353006</v>
      </c>
      <c r="D38" s="372" t="str">
        <f>IFERROR(TEXT(SMALL(_xlfn.UNIQUE(FATURAS!M:M),2),"MMM/AA"),"")</f>
        <v>jul/25</v>
      </c>
      <c r="E38" s="7">
        <f>SUMIFS(FATURAS!AQ:AQ, FATURAS!M:M, SMALL(_xlfn.UNIQUE(FATURAS!M:M),2))</f>
        <v>75.72</v>
      </c>
      <c r="F38" s="7">
        <f>SUMIFS(FATURAS!AR:AR, FATURAS!M:M, SMALL(_xlfn.UNIQUE(FATURAS!M:M),2))</f>
        <v>1367.76</v>
      </c>
      <c r="G38" s="7">
        <f t="shared" si="0"/>
        <v>1443.48</v>
      </c>
      <c r="H38" s="7" cm="1">
        <f t="array" ref="H38">SUMPRODUCT(
(FATURAS!M2:M5000=SMALL(_xlfn.UNIQUE(FATURAS!M2:M5000),2))*
FATURAS!AU2:AU5000*
IF(ISNUMBER(FATURAS!BN2:BN5000),1+(FATURAS!BN2:BN5000/100),1))</f>
        <v>1.6194999999999999</v>
      </c>
      <c r="I38" s="8" cm="1">
        <f t="array" ref="I38">SUMPRODUCT((FATURAS!M2:M5000=SMALL(_xlfn.UNIQUE(FATURAS!M2:M5000),2))*FATURAS!AV2:AV5000*IF(ISNUMBER(FATURAS!BN2:BN5000),1+(FATURAS!BN2:BN5000/100),1))</f>
        <v>26.619249999999997</v>
      </c>
    </row>
    <row r="39" spans="1:9" ht="15.75" customHeight="1" thickBot="1" x14ac:dyDescent="0.35">
      <c r="A39" s="245" t="s">
        <v>925</v>
      </c>
      <c r="B39" s="268" t="s">
        <v>927</v>
      </c>
      <c r="D39" s="372" t="str">
        <f>IFERROR(TEXT(SMALL(_xlfn.UNIQUE(FATURAS!M:M),3),"MMM/AA"),"")</f>
        <v>out/25</v>
      </c>
      <c r="E39" s="7">
        <f>SUMIFS(FATURAS!AQ:AQ, FATURAS!M:M, SMALL(_xlfn.UNIQUE(FATURAS!M:M),3))</f>
        <v>92.14</v>
      </c>
      <c r="F39" s="7">
        <f>SUMIFS(FATURAS!AR:AR, FATURAS!M:M, SMALL(_xlfn.UNIQUE(FATURAS!M:M),3))</f>
        <v>2113.14</v>
      </c>
      <c r="G39" s="7">
        <f t="shared" si="0"/>
        <v>2205.2799999999997</v>
      </c>
      <c r="H39" s="7" cm="1">
        <f t="array" ref="H39">SUMPRODUCT(
(FATURAS!M2:M5000=SMALL(_xlfn.UNIQUE(FATURAS!M2:M5000),3))*
FATURAS!AU2:AU5000*
IF(ISNUMBER(FATURAS!BN2:BN5000),1+(FATURAS!BN2:BN5000/100),1))</f>
        <v>2.6034999999999999</v>
      </c>
      <c r="I39" s="8" cm="1">
        <f t="array" ref="I39">SUMPRODUCT((FATURAS!M2:M5000=SMALL(_xlfn.UNIQUE(FATURAS!M2:M5000),3))*FATURAS!AV2:AV5000*IF(ISNUMBER(FATURAS!BN2:BN5000),1+(FATURAS!BN2:BN5000/100),1))</f>
        <v>29.960749999999997</v>
      </c>
    </row>
    <row r="40" spans="1:9" ht="15.75" customHeight="1" x14ac:dyDescent="0.25">
      <c r="D40" s="372" t="str">
        <f>IFERROR(TEXT(SMALL(_xlfn.UNIQUE(FATURAS!M:M),4),"MMM/AA"),"")</f>
        <v>nov/25</v>
      </c>
      <c r="E40" s="7">
        <f>SUMIFS(FATURAS!AQ:AQ, FATURAS!M:M, SMALL(_xlfn.UNIQUE(FATURAS!M:M),4))</f>
        <v>74.97</v>
      </c>
      <c r="F40" s="7">
        <f>SUMIFS(FATURAS!AR:AR, FATURAS!M:M, SMALL(_xlfn.UNIQUE(FATURAS!M:M),4))</f>
        <v>3172.17</v>
      </c>
      <c r="G40" s="7">
        <f t="shared" si="0"/>
        <v>3247.14</v>
      </c>
      <c r="H40" s="7" cm="1">
        <f t="array" ref="H40">SUMPRODUCT(
(FATURAS!M2:M5000=SMALL(_xlfn.UNIQUE(FATURAS!M2:M5000),4))*
FATURAS!AU2:AU5000*
IF(ISNUMBER(FATURAS!BN2:BN5000),1+(FATURAS!BN2:BN5000/100),1))</f>
        <v>2.1627499999999995</v>
      </c>
      <c r="I40" s="8" cm="1">
        <f t="array" ref="I40">SUMPRODUCT((FATURAS!M2:M5000=SMALL(_xlfn.UNIQUE(FATURAS!M2:M5000),4))*FATURAS!AV2:AV5000*IF(ISNUMBER(FATURAS!BN2:BN5000),1+(FATURAS!BN2:BN5000/100),1))</f>
        <v>35.229249999999993</v>
      </c>
    </row>
    <row r="41" spans="1:9" ht="15.75" customHeight="1" x14ac:dyDescent="0.25">
      <c r="D41" s="372" t="str">
        <f>IFERROR(TEXT(SMALL(_xlfn.UNIQUE(FATURAS!M:M),5),"MMM/AA"),"")</f>
        <v>dez/25</v>
      </c>
      <c r="E41" s="7">
        <f>SUMIFS(FATURAS!AQ:AQ, FATURAS!M:M, SMALL(_xlfn.UNIQUE(FATURAS!M:M),5))</f>
        <v>82.05</v>
      </c>
      <c r="F41" s="7">
        <f>SUMIFS(FATURAS!AR:AR, FATURAS!M:M, SMALL(_xlfn.UNIQUE(FATURAS!M:M),5))</f>
        <v>3480.9</v>
      </c>
      <c r="G41" s="7">
        <f t="shared" si="0"/>
        <v>3562.9500000000003</v>
      </c>
      <c r="H41" s="7" cm="1">
        <f t="array" ref="H41">SUMPRODUCT(
(FATURAS!M2:M5000=SMALL(_xlfn.UNIQUE(FATURAS!M2:M5000),5))*
FATURAS!AU2:AU5000*
IF(ISNUMBER(FATURAS!BN2:BN5000),1+(FATURAS!BN2:BN5000/100),1))</f>
        <v>2.3574999999999995</v>
      </c>
      <c r="I41" s="8" cm="1">
        <f t="array" ref="I41">SUMPRODUCT((FATURAS!M2:M5000=SMALL(_xlfn.UNIQUE(FATURAS!M2:M5000),5))*FATURAS!AV2:AV5000*IF(ISNUMBER(FATURAS!BN2:BN5000),1+(FATURAS!BN2:BN5000/100),1))</f>
        <v>34.050499999999992</v>
      </c>
    </row>
    <row r="42" spans="1:9" ht="15.75" customHeight="1" x14ac:dyDescent="0.25">
      <c r="D42" s="372" t="str">
        <f>IFERROR(TEXT(SMALL(_xlfn.UNIQUE(FATURAS!M:M),6),"MMM/AA"),"")</f>
        <v>jan/26</v>
      </c>
      <c r="E42" s="7">
        <f>SUMIFS(FATURAS!AQ:AQ, FATURAS!M:M, SMALL(_xlfn.UNIQUE(FATURAS!M:M),6))</f>
        <v>86.34</v>
      </c>
      <c r="F42" s="7">
        <f>SUMIFS(FATURAS!AR:AR, FATURAS!M:M, SMALL(_xlfn.UNIQUE(FATURAS!M:M),6))</f>
        <v>2788.41</v>
      </c>
      <c r="G42" s="7">
        <f t="shared" si="0"/>
        <v>2874.75</v>
      </c>
      <c r="H42" s="7" cm="1">
        <f t="array" ref="H42">SUMPRODUCT(
(FATURAS!M2:M5000=SMALL(_xlfn.UNIQUE(FATURAS!M2:M5000),6))*
FATURAS!AU2:AU5000*
IF(ISNUMBER(FATURAS!BN2:BN5000),1+(FATURAS!BN2:BN5000/100),1))</f>
        <v>2.7572499999999995</v>
      </c>
      <c r="I42" s="8" cm="1">
        <f t="array" ref="I42">SUMPRODUCT((FATURAS!M2:M5000=SMALL(_xlfn.UNIQUE(FATURAS!M2:M5000),6))*FATURAS!AV2:AV5000*IF(ISNUMBER(FATURAS!BN2:BN5000),1+(FATURAS!BN2:BN5000/100),1))</f>
        <v>34.829499999999996</v>
      </c>
    </row>
    <row r="43" spans="1:9" ht="15.75" customHeight="1" x14ac:dyDescent="0.25">
      <c r="D43" s="372" t="str">
        <f>IFERROR(TEXT(SMALL(_xlfn.UNIQUE(FATURAS!M:M),7),"MMM/AA"),"")</f>
        <v>fev/26</v>
      </c>
      <c r="E43" s="7">
        <f>SUMIFS(FATURAS!AQ:AQ, FATURAS!M:M, SMALL(_xlfn.UNIQUE(FATURAS!M:M),7))</f>
        <v>50.19</v>
      </c>
      <c r="F43" s="7">
        <f>SUMIFS(FATURAS!AR:AR, FATURAS!M:M, SMALL(_xlfn.UNIQUE(FATURAS!M:M),7))</f>
        <v>997.53</v>
      </c>
      <c r="G43" s="7">
        <f t="shared" si="0"/>
        <v>1047.72</v>
      </c>
      <c r="H43" s="7" cm="1">
        <f t="array" ref="H43">SUMPRODUCT(
(FATURAS!M2:M5000=SMALL(_xlfn.UNIQUE(FATURAS!M2:M5000),7))*
FATURAS!AU2:AU5000*
IF(ISNUMBER(FATURAS!BN2:BN5000),1+(FATURAS!BN2:BN5000/100),1))</f>
        <v>1.2299999999999998</v>
      </c>
      <c r="I43" s="8" cm="1">
        <f t="array" ref="I43">SUMPRODUCT((FATURAS!M2:M5000=SMALL(_xlfn.UNIQUE(FATURAS!M2:M5000),7))*FATURAS!AV2:AV5000*IF(ISNUMBER(FATURAS!BN2:BN5000),1+(FATURAS!BN2:BN5000/100),1))</f>
        <v>12.002750000000001</v>
      </c>
    </row>
    <row r="44" spans="1:9" ht="15.75" customHeight="1" x14ac:dyDescent="0.25">
      <c r="D44" s="372" t="str">
        <f>IFERROR(TEXT(SMALL(_xlfn.UNIQUE(FATURAS!M:M),8),"MMM/AA"),"")</f>
        <v>mar/26</v>
      </c>
      <c r="E44" s="7">
        <f>SUMIFS(FATURAS!AQ:AQ, FATURAS!M:M, SMALL(_xlfn.UNIQUE(FATURAS!M:M),8))</f>
        <v>82.92</v>
      </c>
      <c r="F44" s="7">
        <f>SUMIFS(FATURAS!AR:AR, FATURAS!M:M, SMALL(_xlfn.UNIQUE(FATURAS!M:M),8))</f>
        <v>3281.64</v>
      </c>
      <c r="G44" s="7">
        <f t="shared" si="0"/>
        <v>3364.56</v>
      </c>
      <c r="H44" s="7" cm="1">
        <f t="array" ref="H44">SUMPRODUCT(
(FATURAS!M2:M5000=SMALL(_xlfn.UNIQUE(FATURAS!M2:M5000),8))*
FATURAS!AU2:AU5000*
IF(ISNUMBER(FATURAS!BN2:BN5000),1+(FATURAS!BN2:BN5000/100),1))</f>
        <v>2.3574999999999995</v>
      </c>
      <c r="I44" s="8" cm="1">
        <f t="array" ref="I44">SUMPRODUCT((FATURAS!M2:M5000=SMALL(_xlfn.UNIQUE(FATURAS!M2:M5000),8))*FATURAS!AV2:AV5000*IF(ISNUMBER(FATURAS!BN2:BN5000),1+(FATURAS!BN2:BN5000/100),1))</f>
        <v>34.931999999999995</v>
      </c>
    </row>
    <row r="45" spans="1:9" ht="15.75" customHeight="1" x14ac:dyDescent="0.25">
      <c r="D45" s="372" t="s">
        <v>924</v>
      </c>
      <c r="E45" s="7">
        <f>SUMIFS(FATURAS!AQ:AQ, FATURAS!M:M, SMALL(_xlfn.UNIQUE(FATURAS!M:M),9))</f>
        <v>0</v>
      </c>
      <c r="F45" s="7">
        <f>SUMIFS(FATURAS!AR:AR, FATURAS!M:M, SMALL(_xlfn.UNIQUE(FATURAS!M:M),9))</f>
        <v>0</v>
      </c>
      <c r="G45" s="7">
        <f t="shared" si="0"/>
        <v>0</v>
      </c>
      <c r="H45" s="7" t="e" cm="1">
        <f t="array" ref="H45">SUMPRODUCT(
(FATURAS!M2:M5000=SMALL(_xlfn.UNIQUE(FATURAS!M2:M5000),9))*
FATURAS!AU2:AU5000*
IF(ISNUMBER(FATURAS!BN2:BN5000),1+(FATURAS!BN2:BN5000/100),1))</f>
        <v>#NUM!</v>
      </c>
      <c r="I45" s="8" t="e" cm="1">
        <f t="array" ref="I45">SUMPRODUCT((FATURAS!M2:M5000=SMALL(_xlfn.UNIQUE(FATURAS!M2:M5000),9))*FATURAS!AV2:AV5000*IF(ISNUMBER(FATURAS!BN2:BN5000),1+(FATURAS!BN2:BN5000/100),1))</f>
        <v>#NUM!</v>
      </c>
    </row>
    <row r="46" spans="1:9" ht="15.75" customHeight="1" x14ac:dyDescent="0.25">
      <c r="D46" s="372" t="s">
        <v>924</v>
      </c>
      <c r="E46" s="7">
        <f>SUMIFS(FATURAS!AQ:AQ, FATURAS!M:M, SMALL(_xlfn.UNIQUE(FATURAS!M:M),10))</f>
        <v>0</v>
      </c>
      <c r="F46" s="7">
        <f>SUMIFS(FATURAS!AR:AR, FATURAS!M:M, SMALL(_xlfn.UNIQUE(FATURAS!M:M),10))</f>
        <v>0</v>
      </c>
      <c r="G46" s="7">
        <f t="shared" si="0"/>
        <v>0</v>
      </c>
      <c r="H46" s="7" t="e" cm="1">
        <f t="array" ref="H46">SUMPRODUCT(
(FATURAS!M2:M5000=SMALL(_xlfn.UNIQUE(FATURAS!M2:M5000),10))*
FATURAS!AU2:AU5000*
IF(ISNUMBER(FATURAS!BN2:BN5000),1+(FATURAS!BN2:BN5000/100),1))</f>
        <v>#NUM!</v>
      </c>
      <c r="I46" s="8" t="e" cm="1">
        <f t="array" ref="I46">SUMPRODUCT((FATURAS!M2:M5000=SMALL(_xlfn.UNIQUE(FATURAS!M2:M5000),10))*FATURAS!AV2:AV5000*IF(ISNUMBER(FATURAS!BN2:BN5000),1+(FATURAS!BN2:BN5000/100),1))</f>
        <v>#NUM!</v>
      </c>
    </row>
    <row r="47" spans="1:9" ht="15.75" customHeight="1" x14ac:dyDescent="0.25">
      <c r="D47" s="372" t="s">
        <v>924</v>
      </c>
      <c r="E47" s="7">
        <f>SUMIFS(FATURAS!AQ:AQ, FATURAS!M:M, SMALL(_xlfn.UNIQUE(FATURAS!M:M),11))</f>
        <v>0</v>
      </c>
      <c r="F47" s="7">
        <f>SUMIFS(FATURAS!AR:AR, FATURAS!M:M, SMALL(_xlfn.UNIQUE(FATURAS!M:M),11))</f>
        <v>0</v>
      </c>
      <c r="G47" s="7">
        <f t="shared" si="0"/>
        <v>0</v>
      </c>
      <c r="H47" s="7" t="e" cm="1">
        <f t="array" ref="H47">SUMPRODUCT(
(FATURAS!M2:M5000=SMALL(_xlfn.UNIQUE(FATURAS!M2:M5000),11))*
FATURAS!AU2:AU5000*
IF(ISNUMBER(FATURAS!BN2:BN5000),1+(FATURAS!BN2:BN5000/100),1))</f>
        <v>#NUM!</v>
      </c>
      <c r="I47" s="8" t="e" cm="1">
        <f t="array" ref="I47">SUMPRODUCT((FATURAS!M2:M5000=SMALL(_xlfn.UNIQUE(FATURAS!M2:M5000),11))*FATURAS!AV2:AV5000*IF(ISNUMBER(FATURAS!BN2:BN5000),1+(FATURAS!BN2:BN5000/100),1))</f>
        <v>#NUM!</v>
      </c>
    </row>
    <row r="48" spans="1:9" ht="16.5" customHeight="1" thickBot="1" x14ac:dyDescent="0.3">
      <c r="D48" s="372" t="s">
        <v>924</v>
      </c>
      <c r="E48" s="7">
        <f>SUMIFS(FATURAS!AQ:AQ, FATURAS!M:M, SMALL(_xlfn.UNIQUE(FATURAS!M:M),12))</f>
        <v>0</v>
      </c>
      <c r="F48" s="7">
        <f>SUMIFS(FATURAS!AR:AR, FATURAS!M:M, SMALL(_xlfn.UNIQUE(FATURAS!M:M),12))</f>
        <v>0</v>
      </c>
      <c r="G48" s="172">
        <f t="shared" si="0"/>
        <v>0</v>
      </c>
      <c r="H48" s="172" t="e" cm="1">
        <f t="array" ref="H48">SUMPRODUCT(
(FATURAS!M2:M5000=SMALL(_xlfn.UNIQUE(FATURAS!M2:M5000),12))*
FATURAS!AU2:AU5000*
IF(ISNUMBER(FATURAS!BN2:BN5000),1+(FATURAS!BN2:BN5000/100),1))</f>
        <v>#NUM!</v>
      </c>
      <c r="I48" s="173" t="e" cm="1">
        <f t="array" ref="I48">SUMPRODUCT((FATURAS!M2:M5000=SMALL(_xlfn.UNIQUE(FATURAS!M2:M5000),12))*FATURAS!AV2:AV5000*IF(ISNUMBER(FATURAS!BN2:BN5000),1+(FATURAS!BN2:BN5000/100),1))</f>
        <v>#NUM!</v>
      </c>
    </row>
    <row r="49" spans="4:9" ht="15.75" customHeight="1" thickBot="1" x14ac:dyDescent="0.3">
      <c r="D49" s="384" t="s">
        <v>601</v>
      </c>
      <c r="E49" s="180"/>
      <c r="F49" s="174"/>
      <c r="G49" s="175">
        <f>SUM(G37:G48)</f>
        <v>18742.48</v>
      </c>
      <c r="H49" s="174"/>
      <c r="I49" s="176"/>
    </row>
    <row r="50" spans="4:9" ht="16.5" customHeight="1" thickBot="1" x14ac:dyDescent="0.3">
      <c r="D50" s="385"/>
      <c r="E50" s="181"/>
      <c r="F50" s="177"/>
      <c r="G50" s="178">
        <f>G49/1000</f>
        <v>18.74248</v>
      </c>
      <c r="H50" s="177"/>
      <c r="I50" s="179"/>
    </row>
  </sheetData>
  <mergeCells count="1">
    <mergeCell ref="D49:D50"/>
  </mergeCells>
  <dataValidations count="2">
    <dataValidation type="list" allowBlank="1" showInputMessage="1" showErrorMessage="1" sqref="A12" xr:uid="{A3A853F6-2E14-4BFA-B6E4-9F7C4E3646D8}">
      <formula1>"Alunos, Pacientes, Funcionários"</formula1>
    </dataValidation>
    <dataValidation type="list" allowBlank="1" showInputMessage="1" sqref="B39" xr:uid="{43F90721-6AF1-467C-8F49-A53FC7197B86}">
      <formula1>"Ausência de faturas no período dos últimos 12 meses analisados, Todas as faturas disponíveis no histórico de análise dos últimos 12 meses."</formula1>
    </dataValidation>
  </dataValidations>
  <hyperlinks>
    <hyperlink ref="B9" r:id="rId1" xr:uid="{00000000-0004-0000-00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Q87"/>
  <sheetViews>
    <sheetView zoomScale="85" zoomScaleNormal="85" workbookViewId="0">
      <pane xSplit="5" ySplit="2" topLeftCell="AI3" activePane="bottomRight" state="frozen"/>
      <selection pane="topRight" activeCell="K1" sqref="K1"/>
      <selection pane="bottomLeft" activeCell="A3" sqref="A3"/>
      <selection pane="bottomRight" activeCell="M3" sqref="M3"/>
    </sheetView>
  </sheetViews>
  <sheetFormatPr defaultColWidth="8.85546875" defaultRowHeight="15" x14ac:dyDescent="0.25"/>
  <cols>
    <col min="1" max="1" width="19" style="54" customWidth="1"/>
    <col min="2" max="2" width="20.42578125" style="54" customWidth="1"/>
    <col min="3" max="3" width="36.5703125" style="54" customWidth="1"/>
    <col min="4" max="4" width="36.140625" style="54" customWidth="1"/>
    <col min="5" max="5" width="28" style="55" customWidth="1"/>
    <col min="6" max="6" width="27.85546875" style="56" customWidth="1"/>
    <col min="7" max="7" width="14.7109375" style="56" customWidth="1"/>
    <col min="8" max="8" width="13.5703125" style="56" customWidth="1"/>
    <col min="9" max="9" width="12.42578125" style="56" customWidth="1"/>
    <col min="10" max="10" width="12.28515625" style="56" customWidth="1"/>
    <col min="11" max="11" width="11.85546875" style="56" customWidth="1"/>
    <col min="12" max="12" width="9.85546875" style="56" customWidth="1"/>
    <col min="13" max="14" width="16.140625" style="56" customWidth="1"/>
    <col min="15" max="15" width="15" style="56" customWidth="1"/>
    <col min="16" max="18" width="16.140625" style="56" customWidth="1"/>
    <col min="19" max="19" width="12.7109375" style="56" customWidth="1"/>
    <col min="20" max="20" width="14.140625" style="56" customWidth="1"/>
    <col min="21" max="21" width="36.28515625" style="56" customWidth="1"/>
    <col min="22" max="23" width="39" style="56" customWidth="1"/>
    <col min="24" max="24" width="27" style="56" customWidth="1"/>
    <col min="25" max="25" width="20" style="56" customWidth="1"/>
    <col min="26" max="26" width="14.140625" style="56" customWidth="1"/>
    <col min="27" max="27" width="11.85546875" style="56" customWidth="1"/>
    <col min="28" max="28" width="13.140625" style="56" customWidth="1"/>
    <col min="29" max="29" width="10.140625" style="56" customWidth="1"/>
    <col min="30" max="30" width="12.28515625" style="56" customWidth="1"/>
    <col min="31" max="31" width="14.7109375" style="56" customWidth="1"/>
    <col min="32" max="32" width="15" style="56" customWidth="1"/>
    <col min="33" max="35" width="16.140625" style="56" customWidth="1"/>
    <col min="36" max="36" width="11.85546875" style="56" customWidth="1"/>
    <col min="37" max="37" width="14.140625" style="56" customWidth="1"/>
    <col min="38" max="38" width="13.5703125" style="56" customWidth="1"/>
    <col min="39" max="41" width="18.42578125" style="56" customWidth="1"/>
    <col min="42" max="42" width="24.28515625" style="55" bestFit="1" customWidth="1"/>
    <col min="43" max="43" width="23.5703125" style="55" customWidth="1"/>
    <col min="44" max="44" width="8.85546875" style="55" customWidth="1"/>
    <col min="45" max="16384" width="8.85546875" style="55"/>
  </cols>
  <sheetData>
    <row r="1" spans="1:43" ht="45.75" customHeight="1" x14ac:dyDescent="0.25">
      <c r="A1" s="392" t="s">
        <v>602</v>
      </c>
      <c r="B1" s="393"/>
      <c r="C1" s="393"/>
      <c r="D1" s="392" t="s">
        <v>603</v>
      </c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5" t="s">
        <v>604</v>
      </c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6"/>
      <c r="AM1" s="394" t="s">
        <v>605</v>
      </c>
      <c r="AN1" s="393"/>
      <c r="AO1" s="393"/>
      <c r="AP1" s="195" t="s">
        <v>606</v>
      </c>
      <c r="AQ1" s="195" t="s">
        <v>607</v>
      </c>
    </row>
    <row r="2" spans="1:43" s="66" customFormat="1" ht="90.75" customHeight="1" x14ac:dyDescent="0.25">
      <c r="A2" s="272" t="s">
        <v>608</v>
      </c>
      <c r="B2" s="272" t="s">
        <v>609</v>
      </c>
      <c r="C2" s="272" t="s">
        <v>610</v>
      </c>
      <c r="D2" s="283" t="s">
        <v>611</v>
      </c>
      <c r="E2" s="284" t="s">
        <v>612</v>
      </c>
      <c r="F2" s="273" t="s">
        <v>613</v>
      </c>
      <c r="G2" s="273" t="s">
        <v>614</v>
      </c>
      <c r="H2" s="273" t="s">
        <v>615</v>
      </c>
      <c r="I2" s="273" t="s">
        <v>616</v>
      </c>
      <c r="J2" s="273" t="s">
        <v>617</v>
      </c>
      <c r="K2" s="273" t="s">
        <v>618</v>
      </c>
      <c r="L2" s="273" t="s">
        <v>619</v>
      </c>
      <c r="M2" s="273" t="s">
        <v>620</v>
      </c>
      <c r="N2" s="273" t="s">
        <v>621</v>
      </c>
      <c r="O2" s="273" t="s">
        <v>622</v>
      </c>
      <c r="P2" s="273" t="s">
        <v>623</v>
      </c>
      <c r="Q2" s="273" t="s">
        <v>624</v>
      </c>
      <c r="R2" s="273" t="s">
        <v>625</v>
      </c>
      <c r="S2" s="273" t="s">
        <v>626</v>
      </c>
      <c r="T2" s="363" t="s">
        <v>627</v>
      </c>
      <c r="U2" s="309" t="s">
        <v>612</v>
      </c>
      <c r="V2" s="309" t="s">
        <v>613</v>
      </c>
      <c r="W2" s="309" t="s">
        <v>614</v>
      </c>
      <c r="X2" s="309" t="s">
        <v>615</v>
      </c>
      <c r="Y2" s="309" t="s">
        <v>628</v>
      </c>
      <c r="Z2" s="309" t="s">
        <v>616</v>
      </c>
      <c r="AA2" s="309" t="s">
        <v>617</v>
      </c>
      <c r="AB2" s="309" t="s">
        <v>618</v>
      </c>
      <c r="AC2" s="309" t="s">
        <v>619</v>
      </c>
      <c r="AD2" s="309" t="s">
        <v>620</v>
      </c>
      <c r="AE2" s="309" t="s">
        <v>621</v>
      </c>
      <c r="AF2" s="309" t="s">
        <v>629</v>
      </c>
      <c r="AG2" s="309" t="s">
        <v>630</v>
      </c>
      <c r="AH2" s="309" t="s">
        <v>624</v>
      </c>
      <c r="AI2" s="309" t="s">
        <v>625</v>
      </c>
      <c r="AJ2" s="309" t="s">
        <v>626</v>
      </c>
      <c r="AK2" s="309" t="s">
        <v>627</v>
      </c>
      <c r="AL2" s="294" t="s">
        <v>631</v>
      </c>
      <c r="AM2" s="297" t="s">
        <v>632</v>
      </c>
      <c r="AN2" s="297" t="s">
        <v>633</v>
      </c>
      <c r="AO2" s="296" t="s">
        <v>634</v>
      </c>
      <c r="AP2" s="364" t="s">
        <v>632</v>
      </c>
      <c r="AQ2" s="364" t="s">
        <v>632</v>
      </c>
    </row>
    <row r="3" spans="1:43" s="329" customFormat="1" ht="15.75" customHeight="1" x14ac:dyDescent="0.25">
      <c r="A3" s="353">
        <f>IF(UC_DADOS!$B$2=0,"",UC_DADOS!$B$2)</f>
        <v>7041435180</v>
      </c>
      <c r="B3" s="330"/>
      <c r="C3" s="330" t="s">
        <v>635</v>
      </c>
      <c r="D3" s="330" t="s">
        <v>636</v>
      </c>
      <c r="E3" s="330" t="s">
        <v>637</v>
      </c>
      <c r="F3" s="330" t="s">
        <v>638</v>
      </c>
      <c r="G3" s="330">
        <v>12000</v>
      </c>
      <c r="H3" s="345">
        <v>3.5</v>
      </c>
      <c r="I3" s="331">
        <v>1</v>
      </c>
      <c r="J3" s="333">
        <f>IF(H3=0,0,((G3*0.293*I3)/(1000*H3)))</f>
        <v>1.0045714285714287</v>
      </c>
      <c r="K3" s="354">
        <v>0.7</v>
      </c>
      <c r="L3" s="355">
        <f t="shared" ref="L3:L8" si="0">J3*K3</f>
        <v>0.70320000000000005</v>
      </c>
      <c r="M3" s="334">
        <v>8</v>
      </c>
      <c r="N3" s="335">
        <f>M3*O3*P3</f>
        <v>2040</v>
      </c>
      <c r="O3" s="334">
        <v>12</v>
      </c>
      <c r="P3" s="332">
        <v>21.25</v>
      </c>
      <c r="Q3" s="356">
        <v>0</v>
      </c>
      <c r="R3" s="333">
        <f t="shared" ref="R3:R8" si="1">O3*P3*Q3/765</f>
        <v>0</v>
      </c>
      <c r="S3" s="333">
        <f t="shared" ref="S3:S8" si="2">N3*L3/1000</f>
        <v>1.434528</v>
      </c>
      <c r="T3" s="333">
        <f t="shared" ref="T3:T8" si="3">R3*L3</f>
        <v>0</v>
      </c>
      <c r="U3" s="332" t="str">
        <f t="array" ref="U3">IF(F3="A",E3,IFERROR(INDEX('EQUIPAMENTOS_EFICIENTES (BDD)'!G:G,MATCH(1,('EQUIPAMENTOS_EFICIENTES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Split Hi-Wall</v>
      </c>
      <c r="V3" s="332" t="str">
        <f t="array" ref="V3">IF(F3="A",F3,IFERROR(INDEX('EQUIPAMENTOS_EFICIENTES (BDD)'!H:H,MATCH(1,('EQUIPAMENTOS_EFICIENTES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A</v>
      </c>
      <c r="W3" s="356">
        <f t="array" ref="W3">IF(F3="A",G3,IFERROR(INDEX('EQUIPAMENTOS_EFICIENTES (BDD)'!I:I,MATCH(1,('EQUIPAMENTOS_EFICIENTES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12000</v>
      </c>
      <c r="X3" s="332">
        <f t="array" ref="X3">IF(F3="A",H3,IFERROR(INDEX('EQUIPAMENTOS_EFICIENTES (BDD)'!J:J,MATCH(1,('EQUIPAMENTOS_EFICIENTES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8.3000000000000007</v>
      </c>
      <c r="Y3" s="332">
        <f t="array" ref="Y3">IFERROR(INDEX('EQUIPAMENTOS_EFICIENTES (BDD)'!K:K,MATCH(1,('EQUIPAMENTOS_EFICIENTES (BDD)'!G:G=E3)*('EQUIPAMENTOS_EFICIENTES (BDD)'!I:I=_xlfn.MINIFS('EQUIPAMENTOS_EFICIENTES (BDD)'!I:I,'EQUIPAMENTOS_EFICIENTES (BDD)'!G:G,E3,'EQUIPAMENTOS_EFICIENTES (BDD)'!I:I,"&gt;="&amp;G3)),0)),"")</f>
        <v>3583</v>
      </c>
      <c r="Z3" s="357">
        <f t="shared" ref="Z3:Z5" si="4">I3</f>
        <v>1</v>
      </c>
      <c r="AA3" s="358">
        <f t="shared" ref="AA3:AA5" si="5">IF(X3=0,0,((W3*0.293*Z3)/(1000*X3)))</f>
        <v>0.42361445783132529</v>
      </c>
      <c r="AB3" s="359">
        <f t="shared" ref="AB3:AB5" si="6">K3</f>
        <v>0.7</v>
      </c>
      <c r="AC3" s="360">
        <f t="shared" ref="AC3:AC5" si="7">AA3*AB3</f>
        <v>0.29653012048192767</v>
      </c>
      <c r="AD3" s="360">
        <f t="shared" ref="AD3:AD5" si="8">M3</f>
        <v>8</v>
      </c>
      <c r="AE3" s="357">
        <f t="shared" ref="AE3:AE8" si="9">N3</f>
        <v>2040</v>
      </c>
      <c r="AF3" s="357">
        <f t="shared" ref="AF3:AF5" si="10">O3</f>
        <v>12</v>
      </c>
      <c r="AG3" s="358">
        <f t="shared" ref="AG3:AG8" si="11">P3</f>
        <v>21.25</v>
      </c>
      <c r="AH3" s="358">
        <f t="shared" ref="AH3:AH5" si="12">Q3</f>
        <v>0</v>
      </c>
      <c r="AI3" s="358">
        <f t="shared" ref="AI3:AI5" si="13">R3</f>
        <v>0</v>
      </c>
      <c r="AJ3" s="358">
        <f t="shared" ref="AJ3:AJ5" si="14">AC3*AE3/1000</f>
        <v>0.60492144578313245</v>
      </c>
      <c r="AK3" s="358">
        <f t="shared" ref="AK3:AK5" si="15">AI3*AC3</f>
        <v>0</v>
      </c>
      <c r="AL3" s="361">
        <f t="shared" ref="AL3:AL5" si="16">T3-AK3</f>
        <v>0</v>
      </c>
      <c r="AM3" s="342">
        <f t="shared" ref="AM3:AM5" si="17">S3-AJ3</f>
        <v>0.82960655421686758</v>
      </c>
      <c r="AN3" s="342">
        <f t="shared" ref="AN3:AN5" si="18">IF(AM3&lt;&gt;0,Y3*Z3,0)</f>
        <v>3583</v>
      </c>
      <c r="AO3" s="362">
        <f t="shared" ref="AO3:AO5" si="19">AM3/478.332</f>
        <v>1.7343739373842175E-3</v>
      </c>
      <c r="AP3" s="342">
        <f t="shared" ref="AP3:AP5" si="20">S3*0.9</f>
        <v>1.2910752000000001</v>
      </c>
      <c r="AQ3" s="342">
        <f t="shared" ref="AQ3:AQ5" si="21">AJ3*0.9</f>
        <v>0.54442930120481925</v>
      </c>
    </row>
    <row r="4" spans="1:43" s="329" customFormat="1" ht="15.75" customHeight="1" x14ac:dyDescent="0.25">
      <c r="A4" s="353">
        <f>IF(UC_DADOS!$B$2=0,"",UC_DADOS!$B$2)</f>
        <v>7041435180</v>
      </c>
      <c r="B4" s="330"/>
      <c r="C4" s="330" t="s">
        <v>639</v>
      </c>
      <c r="D4" s="330" t="s">
        <v>640</v>
      </c>
      <c r="E4" s="330" t="s">
        <v>637</v>
      </c>
      <c r="F4" s="330" t="s">
        <v>638</v>
      </c>
      <c r="G4" s="330">
        <v>12000</v>
      </c>
      <c r="H4" s="345">
        <v>3.5</v>
      </c>
      <c r="I4" s="331">
        <v>1</v>
      </c>
      <c r="J4" s="333">
        <f t="shared" ref="J4:J8" si="22">IF(H4=0,0,((G4*0.293*I4)/(1000*H4)))</f>
        <v>1.0045714285714287</v>
      </c>
      <c r="K4" s="354">
        <v>0.7</v>
      </c>
      <c r="L4" s="355">
        <f t="shared" si="0"/>
        <v>0.70320000000000005</v>
      </c>
      <c r="M4" s="334">
        <v>8</v>
      </c>
      <c r="N4" s="335">
        <f t="shared" ref="N4:N8" si="23">M4*O4*P4</f>
        <v>2040</v>
      </c>
      <c r="O4" s="334">
        <v>12</v>
      </c>
      <c r="P4" s="332">
        <v>21.25</v>
      </c>
      <c r="Q4" s="356">
        <v>0</v>
      </c>
      <c r="R4" s="333">
        <f t="shared" si="1"/>
        <v>0</v>
      </c>
      <c r="S4" s="333">
        <f t="shared" si="2"/>
        <v>1.434528</v>
      </c>
      <c r="T4" s="333">
        <f t="shared" si="3"/>
        <v>0</v>
      </c>
      <c r="U4" s="332" t="str">
        <f t="array" ref="U4">IF(F4="A",E4,IFERROR(INDEX('EQUIPAMENTOS_EFICIENTES (BDD)'!G:G,MATCH(1,('EQUIPAMENTOS_EFICIENTES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Split Hi-Wall</v>
      </c>
      <c r="V4" s="332" t="str">
        <f t="array" ref="V4">IF(F4="A",F4,IFERROR(INDEX('EQUIPAMENTOS_EFICIENTES (BDD)'!H:H,MATCH(1,('EQUIPAMENTOS_EFICIENTES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A</v>
      </c>
      <c r="W4" s="356">
        <f t="array" ref="W4">IF(F4="A",G4,IFERROR(INDEX('EQUIPAMENTOS_EFICIENTES (BDD)'!I:I,MATCH(1,('EQUIPAMENTOS_EFICIENTES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12000</v>
      </c>
      <c r="X4" s="332">
        <f t="array" ref="X4">IF(F4="A",H4,IFERROR(INDEX('EQUIPAMENTOS_EFICIENTES (BDD)'!J:J,MATCH(1,('EQUIPAMENTOS_EFICIENTES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8.3000000000000007</v>
      </c>
      <c r="Y4" s="332">
        <f t="array" ref="Y4">IFERROR(INDEX('EQUIPAMENTOS_EFICIENTES (BDD)'!K:K,MATCH(1,('EQUIPAMENTOS_EFICIENTES (BDD)'!G:G=E4)*('EQUIPAMENTOS_EFICIENTES (BDD)'!I:I=_xlfn.MINIFS('EQUIPAMENTOS_EFICIENTES (BDD)'!I:I,'EQUIPAMENTOS_EFICIENTES (BDD)'!G:G,E4,'EQUIPAMENTOS_EFICIENTES (BDD)'!I:I,"&gt;="&amp;G4)),0)),"")</f>
        <v>3583</v>
      </c>
      <c r="Z4" s="357">
        <f t="shared" si="4"/>
        <v>1</v>
      </c>
      <c r="AA4" s="358">
        <f t="shared" si="5"/>
        <v>0.42361445783132529</v>
      </c>
      <c r="AB4" s="359">
        <f t="shared" si="6"/>
        <v>0.7</v>
      </c>
      <c r="AC4" s="360">
        <f t="shared" si="7"/>
        <v>0.29653012048192767</v>
      </c>
      <c r="AD4" s="360">
        <f t="shared" si="8"/>
        <v>8</v>
      </c>
      <c r="AE4" s="357">
        <f t="shared" si="9"/>
        <v>2040</v>
      </c>
      <c r="AF4" s="357">
        <f t="shared" si="10"/>
        <v>12</v>
      </c>
      <c r="AG4" s="358">
        <f t="shared" si="11"/>
        <v>21.25</v>
      </c>
      <c r="AH4" s="358">
        <f t="shared" si="12"/>
        <v>0</v>
      </c>
      <c r="AI4" s="358">
        <f t="shared" si="13"/>
        <v>0</v>
      </c>
      <c r="AJ4" s="358">
        <f t="shared" si="14"/>
        <v>0.60492144578313245</v>
      </c>
      <c r="AK4" s="358">
        <f t="shared" si="15"/>
        <v>0</v>
      </c>
      <c r="AL4" s="361">
        <f t="shared" si="16"/>
        <v>0</v>
      </c>
      <c r="AM4" s="342">
        <f t="shared" si="17"/>
        <v>0.82960655421686758</v>
      </c>
      <c r="AN4" s="342">
        <f t="shared" si="18"/>
        <v>3583</v>
      </c>
      <c r="AO4" s="362">
        <f t="shared" si="19"/>
        <v>1.7343739373842175E-3</v>
      </c>
      <c r="AP4" s="342">
        <f t="shared" si="20"/>
        <v>1.2910752000000001</v>
      </c>
      <c r="AQ4" s="342">
        <f t="shared" si="21"/>
        <v>0.54442930120481925</v>
      </c>
    </row>
    <row r="5" spans="1:43" s="329" customFormat="1" ht="15.75" customHeight="1" x14ac:dyDescent="0.25">
      <c r="A5" s="353">
        <f>IF(UC_DADOS!$B$2=0,"",UC_DADOS!$B$2)</f>
        <v>7041435180</v>
      </c>
      <c r="B5" s="330"/>
      <c r="C5" s="330" t="s">
        <v>641</v>
      </c>
      <c r="D5" s="330" t="s">
        <v>640</v>
      </c>
      <c r="E5" s="330" t="s">
        <v>637</v>
      </c>
      <c r="F5" s="330" t="s">
        <v>638</v>
      </c>
      <c r="G5" s="330">
        <v>12000</v>
      </c>
      <c r="H5" s="345">
        <v>3.5</v>
      </c>
      <c r="I5" s="331">
        <v>2</v>
      </c>
      <c r="J5" s="333">
        <f t="shared" si="22"/>
        <v>2.0091428571428573</v>
      </c>
      <c r="K5" s="354">
        <v>0.7</v>
      </c>
      <c r="L5" s="355">
        <f>J5*K5</f>
        <v>1.4064000000000001</v>
      </c>
      <c r="M5" s="334">
        <v>4</v>
      </c>
      <c r="N5" s="335">
        <f t="shared" si="23"/>
        <v>1020</v>
      </c>
      <c r="O5" s="334">
        <v>12</v>
      </c>
      <c r="P5" s="332">
        <v>21.25</v>
      </c>
      <c r="Q5" s="356">
        <v>0</v>
      </c>
      <c r="R5" s="333">
        <f t="shared" si="1"/>
        <v>0</v>
      </c>
      <c r="S5" s="333">
        <f t="shared" si="2"/>
        <v>1.434528</v>
      </c>
      <c r="T5" s="333">
        <f t="shared" si="3"/>
        <v>0</v>
      </c>
      <c r="U5" s="332" t="str">
        <f t="array" ref="U5">IF(F5="A",E5,IFERROR(INDEX('EQUIPAMENTOS_EFICIENTES (BDD)'!G:G,MATCH(1,('EQUIPAMENTOS_EFICIENTES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Split Hi-Wall</v>
      </c>
      <c r="V5" s="332" t="str">
        <f t="array" ref="V5">IF(F5="A",F5,IFERROR(INDEX('EQUIPAMENTOS_EFICIENTES (BDD)'!H:H,MATCH(1,('EQUIPAMENTOS_EFICIENTES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A</v>
      </c>
      <c r="W5" s="356">
        <f t="array" ref="W5">IF(F5="A",G5,IFERROR(INDEX('EQUIPAMENTOS_EFICIENTES (BDD)'!I:I,MATCH(1,('EQUIPAMENTOS_EFICIENTES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12000</v>
      </c>
      <c r="X5" s="332">
        <f t="array" ref="X5">IF(F5="A",H5,IFERROR(INDEX('EQUIPAMENTOS_EFICIENTES (BDD)'!J:J,MATCH(1,('EQUIPAMENTOS_EFICIENTES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8.3000000000000007</v>
      </c>
      <c r="Y5" s="332">
        <f t="array" ref="Y5">IFERROR(INDEX('EQUIPAMENTOS_EFICIENTES (BDD)'!K:K,MATCH(1,('EQUIPAMENTOS_EFICIENTES (BDD)'!G:G=E5)*('EQUIPAMENTOS_EFICIENTES (BDD)'!I:I=_xlfn.MINIFS('EQUIPAMENTOS_EFICIENTES (BDD)'!I:I,'EQUIPAMENTOS_EFICIENTES (BDD)'!G:G,E5,'EQUIPAMENTOS_EFICIENTES (BDD)'!I:I,"&gt;="&amp;G5)),0)),"")</f>
        <v>3583</v>
      </c>
      <c r="Z5" s="357">
        <f t="shared" si="4"/>
        <v>2</v>
      </c>
      <c r="AA5" s="358">
        <f t="shared" si="5"/>
        <v>0.84722891566265057</v>
      </c>
      <c r="AB5" s="359">
        <f t="shared" si="6"/>
        <v>0.7</v>
      </c>
      <c r="AC5" s="360">
        <f t="shared" si="7"/>
        <v>0.59306024096385535</v>
      </c>
      <c r="AD5" s="360">
        <f t="shared" si="8"/>
        <v>4</v>
      </c>
      <c r="AE5" s="357">
        <f t="shared" si="9"/>
        <v>1020</v>
      </c>
      <c r="AF5" s="357">
        <f t="shared" si="10"/>
        <v>12</v>
      </c>
      <c r="AG5" s="358">
        <f t="shared" si="11"/>
        <v>21.25</v>
      </c>
      <c r="AH5" s="358">
        <f t="shared" si="12"/>
        <v>0</v>
      </c>
      <c r="AI5" s="358">
        <f t="shared" si="13"/>
        <v>0</v>
      </c>
      <c r="AJ5" s="358">
        <f t="shared" si="14"/>
        <v>0.60492144578313245</v>
      </c>
      <c r="AK5" s="358">
        <f t="shared" si="15"/>
        <v>0</v>
      </c>
      <c r="AL5" s="361">
        <f t="shared" si="16"/>
        <v>0</v>
      </c>
      <c r="AM5" s="342">
        <f t="shared" si="17"/>
        <v>0.82960655421686758</v>
      </c>
      <c r="AN5" s="342">
        <f t="shared" si="18"/>
        <v>7166</v>
      </c>
      <c r="AO5" s="362">
        <f t="shared" si="19"/>
        <v>1.7343739373842175E-3</v>
      </c>
      <c r="AP5" s="342">
        <f t="shared" si="20"/>
        <v>1.2910752000000001</v>
      </c>
      <c r="AQ5" s="342">
        <f t="shared" si="21"/>
        <v>0.54442930120481925</v>
      </c>
    </row>
    <row r="6" spans="1:43" s="329" customFormat="1" ht="15.75" customHeight="1" x14ac:dyDescent="0.25">
      <c r="A6" s="353">
        <f>IF(UC_DADOS!$B$2=0,"",UC_DADOS!$B$2)</f>
        <v>7041435180</v>
      </c>
      <c r="B6" s="330"/>
      <c r="C6" s="330" t="s">
        <v>642</v>
      </c>
      <c r="D6" s="330" t="s">
        <v>643</v>
      </c>
      <c r="E6" s="330" t="s">
        <v>644</v>
      </c>
      <c r="F6" s="330" t="s">
        <v>645</v>
      </c>
      <c r="G6" s="330">
        <v>36000</v>
      </c>
      <c r="H6" s="345">
        <v>5.5</v>
      </c>
      <c r="I6" s="331">
        <v>7</v>
      </c>
      <c r="J6" s="333">
        <f t="shared" si="22"/>
        <v>13.424727272727273</v>
      </c>
      <c r="K6" s="354">
        <v>0.7</v>
      </c>
      <c r="L6" s="355">
        <f t="shared" si="0"/>
        <v>9.3973090909090899</v>
      </c>
      <c r="M6" s="334">
        <v>8</v>
      </c>
      <c r="N6" s="335">
        <f t="shared" si="23"/>
        <v>1870</v>
      </c>
      <c r="O6" s="334">
        <v>11</v>
      </c>
      <c r="P6" s="332">
        <v>21.25</v>
      </c>
      <c r="Q6" s="356">
        <v>0</v>
      </c>
      <c r="R6" s="333">
        <f t="shared" si="1"/>
        <v>0</v>
      </c>
      <c r="S6" s="333">
        <f t="shared" si="2"/>
        <v>17.572967999999996</v>
      </c>
      <c r="T6" s="333">
        <f t="shared" si="3"/>
        <v>0</v>
      </c>
      <c r="U6" s="332" t="str">
        <f t="array" ref="U6">IF(F6="A",E6,IFERROR(INDEX('EQUIPAMENTOS_EFICIENTES (BDD)'!G:G,MATCH(1,('EQUIPAMENTOS_EFICIENTES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Split Piso Teto</v>
      </c>
      <c r="V6" s="332" t="str">
        <f t="array" ref="V6">IF(F6="A",F6,IFERROR(INDEX('EQUIPAMENTOS_EFICIENTES (BDD)'!H:H,MATCH(1,('EQUIPAMENTOS_EFICIENTES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A</v>
      </c>
      <c r="W6" s="356">
        <f t="array" ref="W6">IF(F6="A",G6,IFERROR(INDEX('EQUIPAMENTOS_EFICIENTES (BDD)'!I:I,MATCH(1,('EQUIPAMENTOS_EFICIENTES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36000</v>
      </c>
      <c r="X6" s="332">
        <f t="array" ref="X6">IF(F6="A",H6,IFERROR(INDEX('EQUIPAMENTOS_EFICIENTES (BDD)'!J:J,MATCH(1,('EQUIPAMENTOS_EFICIENTES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5.5</v>
      </c>
      <c r="Y6" s="332">
        <f t="array" ref="Y6">IFERROR(INDEX('EQUIPAMENTOS_EFICIENTES (BDD)'!K:K,MATCH(1,('EQUIPAMENTOS_EFICIENTES (BDD)'!G:G=E6)*('EQUIPAMENTOS_EFICIENTES (BDD)'!I:I=_xlfn.MINIFS('EQUIPAMENTOS_EFICIENTES (BDD)'!I:I,'EQUIPAMENTOS_EFICIENTES (BDD)'!G:G,E6,'EQUIPAMENTOS_EFICIENTES (BDD)'!I:I,"&gt;="&amp;G6)),0)),"")</f>
        <v>8299</v>
      </c>
      <c r="Z6" s="357">
        <f t="shared" ref="Z6:Z8" si="24">I6</f>
        <v>7</v>
      </c>
      <c r="AA6" s="358">
        <f t="shared" ref="AA6:AA8" si="25">IF(X6=0,0,((W6*0.293*Z6)/(1000*X6)))</f>
        <v>13.424727272727273</v>
      </c>
      <c r="AB6" s="359">
        <f t="shared" ref="AB6:AB8" si="26">K6</f>
        <v>0.7</v>
      </c>
      <c r="AC6" s="360">
        <f t="shared" ref="AC6:AC8" si="27">AA6*AB6</f>
        <v>9.3973090909090899</v>
      </c>
      <c r="AD6" s="360">
        <f t="shared" ref="AD6:AD8" si="28">M6</f>
        <v>8</v>
      </c>
      <c r="AE6" s="357">
        <f t="shared" si="9"/>
        <v>1870</v>
      </c>
      <c r="AF6" s="357">
        <f t="shared" ref="AF6:AF8" si="29">O6</f>
        <v>11</v>
      </c>
      <c r="AG6" s="358">
        <f t="shared" si="11"/>
        <v>21.25</v>
      </c>
      <c r="AH6" s="358">
        <f t="shared" ref="AH6:AH8" si="30">Q6</f>
        <v>0</v>
      </c>
      <c r="AI6" s="358">
        <f t="shared" ref="AI6:AI8" si="31">R6</f>
        <v>0</v>
      </c>
      <c r="AJ6" s="358">
        <f t="shared" ref="AJ6:AJ8" si="32">AC6*AE6/1000</f>
        <v>17.572967999999996</v>
      </c>
      <c r="AK6" s="358">
        <f t="shared" ref="AK6:AK8" si="33">AI6*AC6</f>
        <v>0</v>
      </c>
      <c r="AL6" s="361">
        <f t="shared" ref="AL6:AL8" si="34">T6-AK6</f>
        <v>0</v>
      </c>
      <c r="AM6" s="342">
        <f t="shared" ref="AM6:AM8" si="35">S6-AJ6</f>
        <v>0</v>
      </c>
      <c r="AN6" s="342">
        <f t="shared" ref="AN6:AN8" si="36">IF(AM6&lt;&gt;0,Y6*Z6,0)</f>
        <v>0</v>
      </c>
      <c r="AO6" s="362">
        <f t="shared" ref="AO6:AO8" si="37">AM6/478.332</f>
        <v>0</v>
      </c>
      <c r="AP6" s="342">
        <f t="shared" ref="AP6:AP8" si="38">S6*0.9</f>
        <v>15.815671199999997</v>
      </c>
      <c r="AQ6" s="342">
        <f t="shared" ref="AQ6:AQ8" si="39">AJ6*0.9</f>
        <v>15.815671199999997</v>
      </c>
    </row>
    <row r="7" spans="1:43" s="329" customFormat="1" ht="15.75" customHeight="1" x14ac:dyDescent="0.25">
      <c r="A7" s="353">
        <f>IF(UC_DADOS!$B$2=0,"",UC_DADOS!$B$2)</f>
        <v>7041435180</v>
      </c>
      <c r="B7" s="330"/>
      <c r="C7" s="330" t="s">
        <v>646</v>
      </c>
      <c r="D7" s="330" t="s">
        <v>643</v>
      </c>
      <c r="E7" s="330" t="s">
        <v>644</v>
      </c>
      <c r="F7" s="330" t="s">
        <v>645</v>
      </c>
      <c r="G7" s="330">
        <v>36000</v>
      </c>
      <c r="H7" s="345">
        <v>5.5</v>
      </c>
      <c r="I7" s="331">
        <v>5</v>
      </c>
      <c r="J7" s="333">
        <f t="shared" si="22"/>
        <v>9.5890909090909098</v>
      </c>
      <c r="K7" s="354">
        <v>0.7</v>
      </c>
      <c r="L7" s="355">
        <f t="shared" si="0"/>
        <v>6.7123636363636363</v>
      </c>
      <c r="M7" s="334">
        <v>8</v>
      </c>
      <c r="N7" s="335">
        <f t="shared" si="23"/>
        <v>1870</v>
      </c>
      <c r="O7" s="334">
        <v>11</v>
      </c>
      <c r="P7" s="332">
        <v>21.25</v>
      </c>
      <c r="Q7" s="356">
        <v>0</v>
      </c>
      <c r="R7" s="333">
        <f t="shared" si="1"/>
        <v>0</v>
      </c>
      <c r="S7" s="333">
        <f t="shared" si="2"/>
        <v>12.55212</v>
      </c>
      <c r="T7" s="333">
        <f t="shared" si="3"/>
        <v>0</v>
      </c>
      <c r="U7" s="332" t="str">
        <f t="array" ref="U7">IF(F7="A",E7,IFERROR(INDEX('EQUIPAMENTOS_EFICIENTES (BDD)'!G:G,MATCH(1,('EQUIPAMENTOS_EFICIENTES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Split Piso Teto</v>
      </c>
      <c r="V7" s="332" t="str">
        <f t="array" ref="V7">IF(F7="A",F7,IFERROR(INDEX('EQUIPAMENTOS_EFICIENTES (BDD)'!H:H,MATCH(1,('EQUIPAMENTOS_EFICIENTES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A</v>
      </c>
      <c r="W7" s="356">
        <f t="array" ref="W7">IF(F7="A",G7,IFERROR(INDEX('EQUIPAMENTOS_EFICIENTES (BDD)'!I:I,MATCH(1,('EQUIPAMENTOS_EFICIENTES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36000</v>
      </c>
      <c r="X7" s="332">
        <f t="array" ref="X7">IF(F7="A",H7,IFERROR(INDEX('EQUIPAMENTOS_EFICIENTES (BDD)'!J:J,MATCH(1,('EQUIPAMENTOS_EFICIENTES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5.5</v>
      </c>
      <c r="Y7" s="332">
        <f t="array" ref="Y7">IFERROR(INDEX('EQUIPAMENTOS_EFICIENTES (BDD)'!K:K,MATCH(1,('EQUIPAMENTOS_EFICIENTES (BDD)'!G:G=E7)*('EQUIPAMENTOS_EFICIENTES (BDD)'!I:I=_xlfn.MINIFS('EQUIPAMENTOS_EFICIENTES (BDD)'!I:I,'EQUIPAMENTOS_EFICIENTES (BDD)'!G:G,E7,'EQUIPAMENTOS_EFICIENTES (BDD)'!I:I,"&gt;="&amp;G7)),0)),"")</f>
        <v>8299</v>
      </c>
      <c r="Z7" s="357">
        <f t="shared" si="24"/>
        <v>5</v>
      </c>
      <c r="AA7" s="358">
        <f t="shared" si="25"/>
        <v>9.5890909090909098</v>
      </c>
      <c r="AB7" s="359">
        <f t="shared" si="26"/>
        <v>0.7</v>
      </c>
      <c r="AC7" s="360">
        <f t="shared" si="27"/>
        <v>6.7123636363636363</v>
      </c>
      <c r="AD7" s="360">
        <f t="shared" si="28"/>
        <v>8</v>
      </c>
      <c r="AE7" s="357">
        <f t="shared" si="9"/>
        <v>1870</v>
      </c>
      <c r="AF7" s="357">
        <f t="shared" si="29"/>
        <v>11</v>
      </c>
      <c r="AG7" s="358">
        <f t="shared" si="11"/>
        <v>21.25</v>
      </c>
      <c r="AH7" s="358">
        <f t="shared" si="30"/>
        <v>0</v>
      </c>
      <c r="AI7" s="358">
        <f t="shared" si="31"/>
        <v>0</v>
      </c>
      <c r="AJ7" s="358">
        <f t="shared" si="32"/>
        <v>12.55212</v>
      </c>
      <c r="AK7" s="358">
        <f t="shared" si="33"/>
        <v>0</v>
      </c>
      <c r="AL7" s="361">
        <f t="shared" si="34"/>
        <v>0</v>
      </c>
      <c r="AM7" s="342">
        <f t="shared" si="35"/>
        <v>0</v>
      </c>
      <c r="AN7" s="342">
        <f t="shared" si="36"/>
        <v>0</v>
      </c>
      <c r="AO7" s="362">
        <f t="shared" si="37"/>
        <v>0</v>
      </c>
      <c r="AP7" s="342">
        <f t="shared" si="38"/>
        <v>11.296908</v>
      </c>
      <c r="AQ7" s="342">
        <f t="shared" si="39"/>
        <v>11.296908</v>
      </c>
    </row>
    <row r="8" spans="1:43" s="329" customFormat="1" ht="15.75" customHeight="1" x14ac:dyDescent="0.25">
      <c r="A8" s="353">
        <f>IF(UC_DADOS!$B$2=0,"",UC_DADOS!$B$2)</f>
        <v>7041435180</v>
      </c>
      <c r="B8" s="330"/>
      <c r="C8" s="330" t="s">
        <v>647</v>
      </c>
      <c r="D8" s="330" t="s">
        <v>643</v>
      </c>
      <c r="E8" s="330" t="s">
        <v>644</v>
      </c>
      <c r="F8" s="330" t="s">
        <v>645</v>
      </c>
      <c r="G8" s="330">
        <v>36000</v>
      </c>
      <c r="H8" s="345">
        <v>5.5</v>
      </c>
      <c r="I8" s="331">
        <v>3</v>
      </c>
      <c r="J8" s="333">
        <f t="shared" si="22"/>
        <v>5.7534545454545452</v>
      </c>
      <c r="K8" s="354">
        <v>0.7</v>
      </c>
      <c r="L8" s="355">
        <f t="shared" si="0"/>
        <v>4.0274181818181818</v>
      </c>
      <c r="M8" s="334">
        <v>4</v>
      </c>
      <c r="N8" s="335">
        <f t="shared" si="23"/>
        <v>935</v>
      </c>
      <c r="O8" s="334">
        <v>11</v>
      </c>
      <c r="P8" s="332">
        <v>21.25</v>
      </c>
      <c r="Q8" s="356">
        <v>0</v>
      </c>
      <c r="R8" s="333">
        <f t="shared" si="1"/>
        <v>0</v>
      </c>
      <c r="S8" s="333">
        <f t="shared" si="2"/>
        <v>3.7656359999999998</v>
      </c>
      <c r="T8" s="333">
        <f t="shared" si="3"/>
        <v>0</v>
      </c>
      <c r="U8" s="332" t="str">
        <f t="array" ref="U8">IF(F8="A",E8,IFERROR(INDEX('EQUIPAMENTOS_EFICIENTES (BDD)'!G:G,MATCH(1,('EQUIPAMENTOS_EFICIENTES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Split Piso Teto</v>
      </c>
      <c r="V8" s="332" t="str">
        <f t="array" ref="V8">IF(F8="A",F8,IFERROR(INDEX('EQUIPAMENTOS_EFICIENTES (BDD)'!H:H,MATCH(1,('EQUIPAMENTOS_EFICIENTES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A</v>
      </c>
      <c r="W8" s="356">
        <f t="array" ref="W8">IF(F8="A",G8,IFERROR(INDEX('EQUIPAMENTOS_EFICIENTES (BDD)'!I:I,MATCH(1,('EQUIPAMENTOS_EFICIENTES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36000</v>
      </c>
      <c r="X8" s="332">
        <f t="array" ref="X8">IF(F8="A",H8,IFERROR(INDEX('EQUIPAMENTOS_EFICIENTES (BDD)'!J:J,MATCH(1,('EQUIPAMENTOS_EFICIENTES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5.5</v>
      </c>
      <c r="Y8" s="332">
        <f t="array" ref="Y8">IFERROR(INDEX('EQUIPAMENTOS_EFICIENTES (BDD)'!K:K,MATCH(1,('EQUIPAMENTOS_EFICIENTES (BDD)'!G:G=E8)*('EQUIPAMENTOS_EFICIENTES (BDD)'!I:I=_xlfn.MINIFS('EQUIPAMENTOS_EFICIENTES (BDD)'!I:I,'EQUIPAMENTOS_EFICIENTES (BDD)'!G:G,E8,'EQUIPAMENTOS_EFICIENTES (BDD)'!I:I,"&gt;="&amp;G8)),0)),"")</f>
        <v>8299</v>
      </c>
      <c r="Z8" s="357">
        <f t="shared" si="24"/>
        <v>3</v>
      </c>
      <c r="AA8" s="358">
        <f t="shared" si="25"/>
        <v>5.7534545454545452</v>
      </c>
      <c r="AB8" s="359">
        <f t="shared" si="26"/>
        <v>0.7</v>
      </c>
      <c r="AC8" s="360">
        <f t="shared" si="27"/>
        <v>4.0274181818181818</v>
      </c>
      <c r="AD8" s="360">
        <f t="shared" si="28"/>
        <v>4</v>
      </c>
      <c r="AE8" s="357">
        <f t="shared" si="9"/>
        <v>935</v>
      </c>
      <c r="AF8" s="357">
        <f t="shared" si="29"/>
        <v>11</v>
      </c>
      <c r="AG8" s="358">
        <f t="shared" si="11"/>
        <v>21.25</v>
      </c>
      <c r="AH8" s="358">
        <f t="shared" si="30"/>
        <v>0</v>
      </c>
      <c r="AI8" s="358">
        <f t="shared" si="31"/>
        <v>0</v>
      </c>
      <c r="AJ8" s="358">
        <f t="shared" si="32"/>
        <v>3.7656359999999998</v>
      </c>
      <c r="AK8" s="358">
        <f t="shared" si="33"/>
        <v>0</v>
      </c>
      <c r="AL8" s="361">
        <f t="shared" si="34"/>
        <v>0</v>
      </c>
      <c r="AM8" s="342">
        <f t="shared" si="35"/>
        <v>0</v>
      </c>
      <c r="AN8" s="342">
        <f t="shared" si="36"/>
        <v>0</v>
      </c>
      <c r="AO8" s="362">
        <f t="shared" si="37"/>
        <v>0</v>
      </c>
      <c r="AP8" s="342">
        <f t="shared" si="38"/>
        <v>3.3890723999999999</v>
      </c>
      <c r="AQ8" s="342">
        <f t="shared" si="39"/>
        <v>3.3890723999999999</v>
      </c>
    </row>
    <row r="9" spans="1:43" s="185" customFormat="1" x14ac:dyDescent="0.25">
      <c r="A9" s="182"/>
      <c r="B9" s="182"/>
      <c r="C9" s="182"/>
      <c r="D9" s="182"/>
      <c r="E9" s="183" t="s">
        <v>648</v>
      </c>
      <c r="F9" s="184"/>
      <c r="G9" s="184"/>
      <c r="H9" s="192"/>
      <c r="I9" s="192">
        <f>SUM(I3:I8)</f>
        <v>19</v>
      </c>
      <c r="J9" s="365">
        <f>SUM(J3:J8)</f>
        <v>32.785558441558443</v>
      </c>
      <c r="K9" s="192"/>
      <c r="L9" s="192">
        <f>SUM(L3:L8)</f>
        <v>22.949890909090907</v>
      </c>
      <c r="M9" s="192"/>
      <c r="N9" s="192"/>
      <c r="O9" s="192"/>
      <c r="P9" s="192"/>
      <c r="Q9" s="192"/>
      <c r="R9" s="192"/>
      <c r="S9" s="192">
        <f>SUM(S3:S8)</f>
        <v>38.194307999999999</v>
      </c>
      <c r="T9" s="192">
        <f>SUM(T3:T8)</f>
        <v>0</v>
      </c>
      <c r="U9" s="366"/>
      <c r="V9" s="351"/>
      <c r="W9" s="367" t="s">
        <v>648</v>
      </c>
      <c r="X9" s="192"/>
      <c r="Y9" s="192"/>
      <c r="Z9" s="192">
        <f>SUM(Z3:Z8)</f>
        <v>19</v>
      </c>
      <c r="AA9" s="368">
        <f>SUM(Z3:Z8)</f>
        <v>19</v>
      </c>
      <c r="AB9" s="366"/>
      <c r="AC9" s="192">
        <f>SUM(AC3:AC8)</f>
        <v>21.323211391018617</v>
      </c>
      <c r="AD9" s="366"/>
      <c r="AE9" s="366"/>
      <c r="AF9" s="192"/>
      <c r="AG9" s="192"/>
      <c r="AH9" s="192"/>
      <c r="AI9" s="192"/>
      <c r="AJ9" s="192">
        <f t="shared" ref="AJ9:AQ9" si="40">SUM(AJ3:AJ8)</f>
        <v>35.705488337349394</v>
      </c>
      <c r="AK9" s="366">
        <f t="shared" si="40"/>
        <v>0</v>
      </c>
      <c r="AL9" s="369">
        <f t="shared" si="40"/>
        <v>0</v>
      </c>
      <c r="AM9" s="367">
        <f t="shared" si="40"/>
        <v>2.4888196626506027</v>
      </c>
      <c r="AN9" s="351">
        <f t="shared" si="40"/>
        <v>14332</v>
      </c>
      <c r="AO9" s="370">
        <f>SUM(AO3:AO8)</f>
        <v>5.2031218121526522E-3</v>
      </c>
      <c r="AP9" s="367">
        <f t="shared" si="40"/>
        <v>34.3748772</v>
      </c>
      <c r="AQ9" s="367">
        <f t="shared" si="40"/>
        <v>32.134939503614461</v>
      </c>
    </row>
    <row r="87" spans="38:41" ht="15" customHeight="1" x14ac:dyDescent="0.25">
      <c r="AL87" s="72" t="s">
        <v>648</v>
      </c>
      <c r="AM87" s="71">
        <f>SUM(AM3:AM86)</f>
        <v>4.9776393253012055</v>
      </c>
      <c r="AN87" s="73"/>
      <c r="AO87" s="73">
        <f>SUM(AO3:AO86)</f>
        <v>1.0406243624305304E-2</v>
      </c>
    </row>
  </sheetData>
  <autoFilter ref="A2:AO9" xr:uid="{00000000-0009-0000-0000-000008000000}"/>
  <mergeCells count="4">
    <mergeCell ref="A1:C1"/>
    <mergeCell ref="AM1:AO1"/>
    <mergeCell ref="U1:AL1"/>
    <mergeCell ref="D1:T1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K10"/>
  <sheetViews>
    <sheetView zoomScale="85" zoomScaleNormal="85" workbookViewId="0">
      <pane xSplit="3" ySplit="2" topLeftCell="AD3" activePane="bottomRight" state="frozen"/>
      <selection pane="topRight" activeCell="X1" sqref="X1"/>
      <selection pane="bottomLeft" activeCell="A3" sqref="A3"/>
      <selection pane="bottomRight" activeCell="D7" sqref="D7"/>
    </sheetView>
  </sheetViews>
  <sheetFormatPr defaultColWidth="8.85546875" defaultRowHeight="15" x14ac:dyDescent="0.25"/>
  <cols>
    <col min="1" max="1" width="19" style="55" customWidth="1"/>
    <col min="2" max="2" width="10.5703125" style="55" customWidth="1"/>
    <col min="3" max="3" width="22.5703125" style="55" customWidth="1"/>
    <col min="4" max="4" width="31.7109375" style="56" customWidth="1"/>
    <col min="5" max="5" width="11.42578125" style="56" customWidth="1"/>
    <col min="6" max="6" width="22.42578125" style="56" customWidth="1"/>
    <col min="7" max="7" width="20.7109375" style="56" customWidth="1"/>
    <col min="8" max="10" width="18.85546875" style="56" customWidth="1"/>
    <col min="11" max="12" width="11.42578125" style="56" customWidth="1"/>
    <col min="13" max="13" width="15.140625" style="56" customWidth="1"/>
    <col min="14" max="19" width="18.85546875" style="56" customWidth="1"/>
    <col min="20" max="20" width="31.7109375" style="56" customWidth="1"/>
    <col min="21" max="21" width="9.5703125" style="56" customWidth="1"/>
    <col min="22" max="22" width="16.5703125" style="56" customWidth="1"/>
    <col min="23" max="23" width="17.42578125" style="56" customWidth="1"/>
    <col min="24" max="24" width="14.85546875" style="56" customWidth="1"/>
    <col min="25" max="26" width="14.42578125" style="56" customWidth="1"/>
    <col min="27" max="27" width="19.140625" style="56" customWidth="1"/>
    <col min="28" max="28" width="19.85546875" style="56" customWidth="1"/>
    <col min="29" max="33" width="20.42578125" style="56" customWidth="1"/>
    <col min="34" max="36" width="18.42578125" style="56" customWidth="1"/>
    <col min="37" max="37" width="22.28515625" style="56" customWidth="1"/>
    <col min="38" max="38" width="8.85546875" style="55" customWidth="1"/>
    <col min="39" max="16384" width="8.85546875" style="55"/>
  </cols>
  <sheetData>
    <row r="1" spans="1:37" ht="47.25" customHeight="1" x14ac:dyDescent="0.25">
      <c r="A1" s="397" t="s">
        <v>649</v>
      </c>
      <c r="B1" s="398"/>
      <c r="C1" s="399"/>
      <c r="D1" s="400" t="s">
        <v>603</v>
      </c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9"/>
      <c r="T1" s="402" t="s">
        <v>604</v>
      </c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9"/>
      <c r="AH1" s="401" t="s">
        <v>605</v>
      </c>
      <c r="AI1" s="398"/>
      <c r="AJ1" s="398"/>
      <c r="AK1" s="399"/>
    </row>
    <row r="2" spans="1:37" s="66" customFormat="1" ht="68.25" customHeight="1" x14ac:dyDescent="0.25">
      <c r="A2" s="346" t="s">
        <v>608</v>
      </c>
      <c r="B2" s="346" t="s">
        <v>609</v>
      </c>
      <c r="C2" s="347" t="s">
        <v>610</v>
      </c>
      <c r="D2" s="348" t="s">
        <v>612</v>
      </c>
      <c r="E2" s="348" t="s">
        <v>650</v>
      </c>
      <c r="F2" s="348" t="s">
        <v>651</v>
      </c>
      <c r="G2" s="348" t="s">
        <v>652</v>
      </c>
      <c r="H2" s="348" t="s">
        <v>653</v>
      </c>
      <c r="I2" s="348" t="s">
        <v>618</v>
      </c>
      <c r="J2" s="348" t="s">
        <v>619</v>
      </c>
      <c r="K2" s="348" t="s">
        <v>616</v>
      </c>
      <c r="L2" s="348" t="s">
        <v>620</v>
      </c>
      <c r="M2" s="348" t="s">
        <v>621</v>
      </c>
      <c r="N2" s="348" t="s">
        <v>654</v>
      </c>
      <c r="O2" s="348" t="s">
        <v>623</v>
      </c>
      <c r="P2" s="348" t="s">
        <v>624</v>
      </c>
      <c r="Q2" s="348" t="s">
        <v>625</v>
      </c>
      <c r="R2" s="348" t="s">
        <v>626</v>
      </c>
      <c r="S2" s="348" t="s">
        <v>627</v>
      </c>
      <c r="T2" s="349" t="s">
        <v>612</v>
      </c>
      <c r="U2" s="349" t="s">
        <v>655</v>
      </c>
      <c r="V2" s="349" t="s">
        <v>653</v>
      </c>
      <c r="W2" s="349" t="s">
        <v>618</v>
      </c>
      <c r="X2" s="349" t="s">
        <v>656</v>
      </c>
      <c r="Y2" s="349" t="s">
        <v>616</v>
      </c>
      <c r="Z2" s="349" t="s">
        <v>628</v>
      </c>
      <c r="AA2" s="349" t="s">
        <v>621</v>
      </c>
      <c r="AB2" s="349" t="s">
        <v>629</v>
      </c>
      <c r="AC2" s="349" t="s">
        <v>657</v>
      </c>
      <c r="AD2" s="349" t="s">
        <v>624</v>
      </c>
      <c r="AE2" s="349" t="s">
        <v>625</v>
      </c>
      <c r="AF2" s="349" t="s">
        <v>626</v>
      </c>
      <c r="AG2" s="349" t="s">
        <v>627</v>
      </c>
      <c r="AH2" s="350" t="s">
        <v>631</v>
      </c>
      <c r="AI2" s="350" t="s">
        <v>632</v>
      </c>
      <c r="AJ2" s="350" t="s">
        <v>633</v>
      </c>
      <c r="AK2" s="350" t="s">
        <v>634</v>
      </c>
    </row>
    <row r="3" spans="1:37" s="329" customFormat="1" x14ac:dyDescent="0.25">
      <c r="A3" s="329">
        <f>IF(UC_DADOS!$B$2=0,"",UC_DADOS!$B$2)</f>
        <v>7041435180</v>
      </c>
      <c r="B3" s="330" t="s">
        <v>658</v>
      </c>
      <c r="C3" s="330" t="s">
        <v>659</v>
      </c>
      <c r="D3" s="330" t="s">
        <v>660</v>
      </c>
      <c r="E3" s="331" t="s">
        <v>661</v>
      </c>
      <c r="F3" s="331" t="s">
        <v>662</v>
      </c>
      <c r="G3" s="330" t="s">
        <v>663</v>
      </c>
      <c r="H3" s="330">
        <v>180</v>
      </c>
      <c r="I3" s="332">
        <v>0.5</v>
      </c>
      <c r="J3" s="333">
        <f t="shared" ref="J3:J9" si="0">(H3*I3)/1000</f>
        <v>0.09</v>
      </c>
      <c r="K3" s="331">
        <v>1</v>
      </c>
      <c r="L3" s="334">
        <v>24</v>
      </c>
      <c r="M3" s="335">
        <f>L3*N3*O3</f>
        <v>8640</v>
      </c>
      <c r="N3" s="334">
        <v>12</v>
      </c>
      <c r="O3" s="334">
        <v>30</v>
      </c>
      <c r="P3" s="332">
        <v>3</v>
      </c>
      <c r="Q3" s="333">
        <f t="shared" ref="Q3:Q6" si="1">N3*O3*P3/765</f>
        <v>1.411764705882353</v>
      </c>
      <c r="R3" s="336">
        <f t="shared" ref="R3:R6" si="2">(J3*M3)/1000</f>
        <v>0.77760000000000007</v>
      </c>
      <c r="S3" s="336">
        <f t="shared" ref="S3:S6" si="3">J3*Q3</f>
        <v>0.12705882352941178</v>
      </c>
      <c r="T3" s="337" t="str">
        <f t="array" ref="T3">IF(F3="Ruim",IFERROR(INDEX('EQUIPAMENTOS_EFICIENTES (BDD)'!O:O,MATCH(1,('EQUIPAMENTOS_EFICIENTES (BDD)'!O:O=D3)*('EQUIPAMENTOS_EFICIENTES (BDD)'!T:T=E3),0)),""),D3)</f>
        <v>Freezer Horizontal</v>
      </c>
      <c r="U3" s="337" t="str">
        <f t="shared" ref="U3:U6" si="4">E3</f>
        <v>Grande</v>
      </c>
      <c r="V3" s="332">
        <f t="array" ref="V3">IF(F3="Ruim",IFERROR(INDEX('EQUIPAMENTOS_EFICIENTES (BDD)'!Q:Q,MATCH(1,('EQUIPAMENTOS_EFICIENTES (BDD)'!O:O=D3)*('EQUIPAMENTOS_EFICIENTES (BDD)'!T:T=E3),0)),H3),H3)</f>
        <v>180</v>
      </c>
      <c r="W3" s="332">
        <v>0.45</v>
      </c>
      <c r="X3" s="338">
        <f t="shared" ref="X3:X6" si="5">(W3*V3)/1000</f>
        <v>8.1000000000000003E-2</v>
      </c>
      <c r="Y3" s="339">
        <f t="shared" ref="Y3:Y6" si="6">K3</f>
        <v>1</v>
      </c>
      <c r="Z3" s="340">
        <f t="array" ref="Z3">IF(F3="Ruim",IFERROR(INDEX('EQUIPAMENTOS_EFICIENTES (BDD)'!U:U,MATCH(1,('EQUIPAMENTOS_EFICIENTES (BDD)'!O:O=D3)*('EQUIPAMENTOS_EFICIENTES (BDD)'!T:T=E3),0)),0),0)</f>
        <v>0</v>
      </c>
      <c r="AA3" s="340">
        <f t="shared" ref="AA3:AE6" si="7">M3</f>
        <v>8640</v>
      </c>
      <c r="AB3" s="340">
        <f t="shared" si="7"/>
        <v>12</v>
      </c>
      <c r="AC3" s="340">
        <f t="shared" si="7"/>
        <v>30</v>
      </c>
      <c r="AD3" s="340">
        <f t="shared" si="7"/>
        <v>3</v>
      </c>
      <c r="AE3" s="338">
        <f t="shared" si="7"/>
        <v>1.411764705882353</v>
      </c>
      <c r="AF3" s="338">
        <f t="shared" ref="AF3:AF6" si="8">(AA3*X3)/1000</f>
        <v>0.69984000000000002</v>
      </c>
      <c r="AG3" s="341">
        <f t="shared" ref="AG3:AG6" si="9">AE3*X3/1000</f>
        <v>1.143529411764706E-4</v>
      </c>
      <c r="AH3" s="342">
        <f t="shared" ref="AH3:AH6" si="10">S3-AG3</f>
        <v>0.1269444705882353</v>
      </c>
      <c r="AI3" s="342">
        <f t="shared" ref="AI3:AI6" si="11">(R3-AF3)</f>
        <v>7.7760000000000051E-2</v>
      </c>
      <c r="AJ3" s="342">
        <f t="shared" ref="AJ3:AJ6" si="12">IF(AI3&gt;0,Y3*Z3,0)</f>
        <v>0</v>
      </c>
      <c r="AK3" s="342">
        <f t="shared" ref="AK3:AK6" si="13">AI3/478.332</f>
        <v>1.6256491307292854E-4</v>
      </c>
    </row>
    <row r="4" spans="1:37" s="329" customFormat="1" x14ac:dyDescent="0.25">
      <c r="A4" s="329">
        <f>IF(UC_DADOS!$B$2=0,"",UC_DADOS!$B$2)</f>
        <v>7041435180</v>
      </c>
      <c r="B4" s="330" t="s">
        <v>658</v>
      </c>
      <c r="C4" s="330" t="s">
        <v>659</v>
      </c>
      <c r="D4" s="330" t="s">
        <v>664</v>
      </c>
      <c r="E4" s="331" t="s">
        <v>661</v>
      </c>
      <c r="F4" s="331" t="s">
        <v>662</v>
      </c>
      <c r="G4" s="330" t="s">
        <v>665</v>
      </c>
      <c r="H4" s="330">
        <v>150</v>
      </c>
      <c r="I4" s="332">
        <v>0.45</v>
      </c>
      <c r="J4" s="333">
        <f t="shared" si="0"/>
        <v>6.7500000000000004E-2</v>
      </c>
      <c r="K4" s="331">
        <v>1</v>
      </c>
      <c r="L4" s="334">
        <v>24</v>
      </c>
      <c r="M4" s="335">
        <f t="shared" ref="M4:M9" si="14">L4*N4*O4</f>
        <v>8640</v>
      </c>
      <c r="N4" s="334">
        <v>12</v>
      </c>
      <c r="O4" s="334">
        <v>30</v>
      </c>
      <c r="P4" s="332">
        <v>3</v>
      </c>
      <c r="Q4" s="333">
        <f t="shared" si="1"/>
        <v>1.411764705882353</v>
      </c>
      <c r="R4" s="336">
        <f t="shared" si="2"/>
        <v>0.58320000000000005</v>
      </c>
      <c r="S4" s="336">
        <f t="shared" si="3"/>
        <v>9.5294117647058835E-2</v>
      </c>
      <c r="T4" s="337" t="str">
        <f t="array" ref="T4">IF(F4="Ruim",IFERROR(INDEX('EQUIPAMENTOS_EFICIENTES (BDD)'!O:O,MATCH(1,('EQUIPAMENTOS_EFICIENTES (BDD)'!O:O=D4)*('EQUIPAMENTOS_EFICIENTES (BDD)'!T:T=E4),0)),""),D4)</f>
        <v xml:space="preserve">Geladeira </v>
      </c>
      <c r="U4" s="337" t="str">
        <f t="shared" si="4"/>
        <v>Grande</v>
      </c>
      <c r="V4" s="332">
        <f t="array" ref="V4">IF(F4="Ruim",IFERROR(INDEX('EQUIPAMENTOS_EFICIENTES (BDD)'!Q:Q,MATCH(1,('EQUIPAMENTOS_EFICIENTES (BDD)'!O:O=D4)*('EQUIPAMENTOS_EFICIENTES (BDD)'!T:T=E4),0)),H4),H4)</f>
        <v>150</v>
      </c>
      <c r="W4" s="332">
        <f t="array" ref="W4">IF(F4="Ruim",IFERROR(INDEX('EQUIPAMENTOS_EFICIENTES (BDD)'!S:S,MATCH(1,('EQUIPAMENTOS_EFICIENTES (BDD)'!O:O=D4)*('EQUIPAMENTOS_EFICIENTES (BDD)'!T:T=E4),0)),I4),I4)</f>
        <v>0.45</v>
      </c>
      <c r="X4" s="338">
        <f t="shared" si="5"/>
        <v>6.7500000000000004E-2</v>
      </c>
      <c r="Y4" s="339">
        <f t="shared" si="6"/>
        <v>1</v>
      </c>
      <c r="Z4" s="340">
        <f t="array" ref="Z4">IF(F4="Ruim",IFERROR(INDEX('EQUIPAMENTOS_EFICIENTES (BDD)'!U:U,MATCH(1,('EQUIPAMENTOS_EFICIENTES (BDD)'!O:O=D4)*('EQUIPAMENTOS_EFICIENTES (BDD)'!T:T=E4),0)),0),0)</f>
        <v>0</v>
      </c>
      <c r="AA4" s="340">
        <f t="shared" si="7"/>
        <v>8640</v>
      </c>
      <c r="AB4" s="340">
        <f t="shared" si="7"/>
        <v>12</v>
      </c>
      <c r="AC4" s="340">
        <f t="shared" si="7"/>
        <v>30</v>
      </c>
      <c r="AD4" s="340">
        <f t="shared" si="7"/>
        <v>3</v>
      </c>
      <c r="AE4" s="338">
        <f t="shared" si="7"/>
        <v>1.411764705882353</v>
      </c>
      <c r="AF4" s="338">
        <f t="shared" si="8"/>
        <v>0.58320000000000005</v>
      </c>
      <c r="AG4" s="341">
        <f t="shared" si="9"/>
        <v>9.5294117647058829E-5</v>
      </c>
      <c r="AH4" s="342">
        <f t="shared" si="10"/>
        <v>9.519882352941178E-2</v>
      </c>
      <c r="AI4" s="342">
        <f t="shared" si="11"/>
        <v>0</v>
      </c>
      <c r="AJ4" s="342">
        <f t="shared" si="12"/>
        <v>0</v>
      </c>
      <c r="AK4" s="343">
        <f t="shared" si="13"/>
        <v>0</v>
      </c>
    </row>
    <row r="5" spans="1:37" s="329" customFormat="1" x14ac:dyDescent="0.25">
      <c r="A5" s="329">
        <f>IF(UC_DADOS!$B$2=0,"",UC_DADOS!$B$2)</f>
        <v>7041435180</v>
      </c>
      <c r="B5" s="330" t="s">
        <v>658</v>
      </c>
      <c r="C5" s="330" t="s">
        <v>659</v>
      </c>
      <c r="D5" s="330" t="s">
        <v>666</v>
      </c>
      <c r="E5" s="331" t="s">
        <v>661</v>
      </c>
      <c r="F5" s="331" t="s">
        <v>662</v>
      </c>
      <c r="G5" s="330" t="s">
        <v>665</v>
      </c>
      <c r="H5" s="330">
        <v>160</v>
      </c>
      <c r="I5" s="332">
        <v>0.49</v>
      </c>
      <c r="J5" s="333">
        <f t="shared" si="0"/>
        <v>7.8400000000000011E-2</v>
      </c>
      <c r="K5" s="331">
        <v>1</v>
      </c>
      <c r="L5" s="334">
        <v>24</v>
      </c>
      <c r="M5" s="335">
        <f t="shared" si="14"/>
        <v>8640</v>
      </c>
      <c r="N5" s="334">
        <v>12</v>
      </c>
      <c r="O5" s="334">
        <v>30</v>
      </c>
      <c r="P5" s="332">
        <v>3</v>
      </c>
      <c r="Q5" s="333">
        <f t="shared" si="1"/>
        <v>1.411764705882353</v>
      </c>
      <c r="R5" s="336">
        <f t="shared" si="2"/>
        <v>0.67737600000000009</v>
      </c>
      <c r="S5" s="336">
        <f t="shared" si="3"/>
        <v>0.1106823529411765</v>
      </c>
      <c r="T5" s="337" t="str">
        <f t="array" ref="T5">IF(F5="Ruim",IFERROR(INDEX('EQUIPAMENTOS_EFICIENTES (BDD)'!O:O,MATCH(1,('EQUIPAMENTOS_EFICIENTES (BDD)'!O:O=D5)*('EQUIPAMENTOS_EFICIENTES (BDD)'!T:T=E5),0)),""),D5)</f>
        <v>Geladeira</v>
      </c>
      <c r="U5" s="337" t="str">
        <f t="shared" si="4"/>
        <v>Grande</v>
      </c>
      <c r="V5" s="332">
        <f t="array" ref="V5">IF(F5="Ruim",IFERROR(INDEX('EQUIPAMENTOS_EFICIENTES (BDD)'!Q:Q,MATCH(1,('EQUIPAMENTOS_EFICIENTES (BDD)'!O:O=D5)*('EQUIPAMENTOS_EFICIENTES (BDD)'!T:T=E5),0)),H5),H5)</f>
        <v>160</v>
      </c>
      <c r="W5" s="332">
        <f t="array" ref="W5">IF(F5="Ruim",IFERROR(INDEX('EQUIPAMENTOS_EFICIENTES (BDD)'!S:S,MATCH(1,('EQUIPAMENTOS_EFICIENTES (BDD)'!O:O=D5)*('EQUIPAMENTOS_EFICIENTES (BDD)'!T:T=E5),0)),I5),I5)</f>
        <v>0.49</v>
      </c>
      <c r="X5" s="338">
        <f t="shared" si="5"/>
        <v>7.8400000000000011E-2</v>
      </c>
      <c r="Y5" s="339">
        <f t="shared" si="6"/>
        <v>1</v>
      </c>
      <c r="Z5" s="340">
        <f t="array" ref="Z5">IF(F5="Ruim",IFERROR(INDEX('EQUIPAMENTOS_EFICIENTES (BDD)'!U:U,MATCH(1,('EQUIPAMENTOS_EFICIENTES (BDD)'!O:O=D5)*('EQUIPAMENTOS_EFICIENTES (BDD)'!T:T=E5),0)),0),0)</f>
        <v>0</v>
      </c>
      <c r="AA5" s="340">
        <f t="shared" si="7"/>
        <v>8640</v>
      </c>
      <c r="AB5" s="340">
        <f t="shared" si="7"/>
        <v>12</v>
      </c>
      <c r="AC5" s="340">
        <f t="shared" si="7"/>
        <v>30</v>
      </c>
      <c r="AD5" s="340">
        <f t="shared" si="7"/>
        <v>3</v>
      </c>
      <c r="AE5" s="338">
        <f t="shared" si="7"/>
        <v>1.411764705882353</v>
      </c>
      <c r="AF5" s="338">
        <f t="shared" si="8"/>
        <v>0.67737600000000009</v>
      </c>
      <c r="AG5" s="341">
        <f t="shared" si="9"/>
        <v>1.106823529411765E-4</v>
      </c>
      <c r="AH5" s="342">
        <f t="shared" si="10"/>
        <v>0.11057167058823532</v>
      </c>
      <c r="AI5" s="342">
        <f t="shared" si="11"/>
        <v>0</v>
      </c>
      <c r="AJ5" s="342">
        <f t="shared" si="12"/>
        <v>0</v>
      </c>
      <c r="AK5" s="342">
        <f t="shared" si="13"/>
        <v>0</v>
      </c>
    </row>
    <row r="6" spans="1:37" s="329" customFormat="1" x14ac:dyDescent="0.25">
      <c r="A6" s="329">
        <f>IF(UC_DADOS!$B$2=0,"",UC_DADOS!$B$2)</f>
        <v>7041435180</v>
      </c>
      <c r="B6" s="330" t="s">
        <v>658</v>
      </c>
      <c r="C6" s="330" t="s">
        <v>667</v>
      </c>
      <c r="D6" s="330" t="s">
        <v>660</v>
      </c>
      <c r="E6" s="331" t="s">
        <v>661</v>
      </c>
      <c r="F6" s="331" t="s">
        <v>662</v>
      </c>
      <c r="G6" s="330" t="s">
        <v>663</v>
      </c>
      <c r="H6" s="330">
        <v>250</v>
      </c>
      <c r="I6" s="332">
        <v>0.6</v>
      </c>
      <c r="J6" s="333">
        <f t="shared" si="0"/>
        <v>0.15</v>
      </c>
      <c r="K6" s="331">
        <v>1</v>
      </c>
      <c r="L6" s="334">
        <v>24</v>
      </c>
      <c r="M6" s="335">
        <f t="shared" si="14"/>
        <v>8640</v>
      </c>
      <c r="N6" s="334">
        <v>12</v>
      </c>
      <c r="O6" s="334">
        <v>30</v>
      </c>
      <c r="P6" s="332">
        <v>3</v>
      </c>
      <c r="Q6" s="333">
        <f t="shared" si="1"/>
        <v>1.411764705882353</v>
      </c>
      <c r="R6" s="336">
        <f t="shared" si="2"/>
        <v>1.296</v>
      </c>
      <c r="S6" s="336">
        <f t="shared" si="3"/>
        <v>0.21176470588235294</v>
      </c>
      <c r="T6" s="337" t="str">
        <f t="array" ref="T6">IF(F6="Ruim",IFERROR(INDEX('EQUIPAMENTOS_EFICIENTES (BDD)'!O:O,MATCH(1,('EQUIPAMENTOS_EFICIENTES (BDD)'!O:O=D6)*('EQUIPAMENTOS_EFICIENTES (BDD)'!T:T=E6),0)),""),D6)</f>
        <v>Freezer Horizontal</v>
      </c>
      <c r="U6" s="337" t="str">
        <f t="shared" si="4"/>
        <v>Grande</v>
      </c>
      <c r="V6" s="332">
        <f t="array" ref="V6">IF(F6="Ruim",IFERROR(INDEX('EQUIPAMENTOS_EFICIENTES (BDD)'!Q:Q,MATCH(1,('EQUIPAMENTOS_EFICIENTES (BDD)'!O:O=D6)*('EQUIPAMENTOS_EFICIENTES (BDD)'!T:T=E6),0)),H6),H6)</f>
        <v>250</v>
      </c>
      <c r="W6" s="332">
        <f t="array" ref="W6">IF(F6="Ruim",IFERROR(INDEX('EQUIPAMENTOS_EFICIENTES (BDD)'!S:S,MATCH(1,('EQUIPAMENTOS_EFICIENTES (BDD)'!O:O=D6)*('EQUIPAMENTOS_EFICIENTES (BDD)'!T:T=E6),0)),I6),I6)</f>
        <v>0.6</v>
      </c>
      <c r="X6" s="338">
        <f t="shared" si="5"/>
        <v>0.15</v>
      </c>
      <c r="Y6" s="339">
        <f t="shared" si="6"/>
        <v>1</v>
      </c>
      <c r="Z6" s="340">
        <f t="array" ref="Z6">IF(F6="Ruim",IFERROR(INDEX('EQUIPAMENTOS_EFICIENTES (BDD)'!U:U,MATCH(1,('EQUIPAMENTOS_EFICIENTES (BDD)'!O:O=D6)*('EQUIPAMENTOS_EFICIENTES (BDD)'!T:T=E6),0)),0),0)</f>
        <v>0</v>
      </c>
      <c r="AA6" s="340">
        <f t="shared" si="7"/>
        <v>8640</v>
      </c>
      <c r="AB6" s="340">
        <f t="shared" si="7"/>
        <v>12</v>
      </c>
      <c r="AC6" s="340">
        <f t="shared" si="7"/>
        <v>30</v>
      </c>
      <c r="AD6" s="340">
        <f t="shared" si="7"/>
        <v>3</v>
      </c>
      <c r="AE6" s="338">
        <f t="shared" si="7"/>
        <v>1.411764705882353</v>
      </c>
      <c r="AF6" s="338">
        <f t="shared" si="8"/>
        <v>1.296</v>
      </c>
      <c r="AG6" s="341">
        <f t="shared" si="9"/>
        <v>2.1176470588235295E-4</v>
      </c>
      <c r="AH6" s="342">
        <f t="shared" si="10"/>
        <v>0.21155294117647058</v>
      </c>
      <c r="AI6" s="342">
        <f t="shared" si="11"/>
        <v>0</v>
      </c>
      <c r="AJ6" s="342">
        <f t="shared" si="12"/>
        <v>0</v>
      </c>
      <c r="AK6" s="342">
        <f t="shared" si="13"/>
        <v>0</v>
      </c>
    </row>
    <row r="7" spans="1:37" s="344" customFormat="1" x14ac:dyDescent="0.25">
      <c r="A7" s="329">
        <f>IF(UC_DADOS!$B$2=0,"",UC_DADOS!$B$2)</f>
        <v>7041435180</v>
      </c>
      <c r="B7" s="330" t="s">
        <v>668</v>
      </c>
      <c r="C7" s="330" t="s">
        <v>669</v>
      </c>
      <c r="D7" s="330" t="s">
        <v>666</v>
      </c>
      <c r="E7" s="330" t="s">
        <v>670</v>
      </c>
      <c r="F7" s="331" t="s">
        <v>662</v>
      </c>
      <c r="G7" s="330" t="s">
        <v>665</v>
      </c>
      <c r="H7" s="330">
        <v>100</v>
      </c>
      <c r="I7" s="332">
        <v>0.45</v>
      </c>
      <c r="J7" s="333">
        <f t="shared" si="0"/>
        <v>4.4999999999999998E-2</v>
      </c>
      <c r="K7" s="331">
        <v>1</v>
      </c>
      <c r="L7" s="334">
        <v>24</v>
      </c>
      <c r="M7" s="335">
        <f t="shared" si="14"/>
        <v>8640</v>
      </c>
      <c r="N7" s="334">
        <v>12</v>
      </c>
      <c r="O7" s="334">
        <v>30</v>
      </c>
      <c r="P7" s="332">
        <v>3</v>
      </c>
      <c r="Q7" s="333">
        <f t="shared" ref="Q7:Q9" si="15">N7*O7*P7/765</f>
        <v>1.411764705882353</v>
      </c>
      <c r="R7" s="336">
        <f t="shared" ref="R7:R9" si="16">(J7*M7)/1000</f>
        <v>0.38880000000000003</v>
      </c>
      <c r="S7" s="336">
        <f t="shared" ref="S7:S9" si="17">J7*Q7</f>
        <v>6.352941176470589E-2</v>
      </c>
      <c r="T7" s="337" t="str">
        <f t="array" ref="T7">IF(F7="Ruim",IFERROR(INDEX('EQUIPAMENTOS_EFICIENTES (BDD)'!O:O,MATCH(1,('EQUIPAMENTOS_EFICIENTES (BDD)'!O:O=D7)*('EQUIPAMENTOS_EFICIENTES (BDD)'!T:T=E7),0)),""),D7)</f>
        <v>Geladeira</v>
      </c>
      <c r="U7" s="337" t="str">
        <f t="shared" ref="U7:U9" si="18">E7</f>
        <v>Pequeno</v>
      </c>
      <c r="V7" s="332">
        <f t="array" ref="V7">IF(F7="Ruim",IFERROR(INDEX('EQUIPAMENTOS_EFICIENTES (BDD)'!Q:Q,MATCH(1,('EQUIPAMENTOS_EFICIENTES (BDD)'!O:O=D7)*('EQUIPAMENTOS_EFICIENTES (BDD)'!T:T=E7),0)),H7),H7)</f>
        <v>100</v>
      </c>
      <c r="W7" s="332">
        <f t="array" ref="W7">IF(F7="Ruim",IFERROR(INDEX('EQUIPAMENTOS_EFICIENTES (BDD)'!S:S,MATCH(1,('EQUIPAMENTOS_EFICIENTES (BDD)'!O:O=D7)*('EQUIPAMENTOS_EFICIENTES (BDD)'!T:T=E7),0)),I7),I7)</f>
        <v>0.45</v>
      </c>
      <c r="X7" s="338">
        <f t="shared" ref="X7:X9" si="19">(W7*V7)/1000</f>
        <v>4.4999999999999998E-2</v>
      </c>
      <c r="Y7" s="339">
        <f t="shared" ref="Y7:Y9" si="20">K7</f>
        <v>1</v>
      </c>
      <c r="Z7" s="340">
        <f t="array" ref="Z7">IF(F7="Ruim",IFERROR(INDEX('EQUIPAMENTOS_EFICIENTES (BDD)'!U:U,MATCH(1,('EQUIPAMENTOS_EFICIENTES (BDD)'!O:O=D7)*('EQUIPAMENTOS_EFICIENTES (BDD)'!T:T=E7),0)),0),0)</f>
        <v>0</v>
      </c>
      <c r="AA7" s="340">
        <f t="shared" ref="AA7:AA9" si="21">M7</f>
        <v>8640</v>
      </c>
      <c r="AB7" s="340">
        <f t="shared" ref="AB7:AB9" si="22">N7</f>
        <v>12</v>
      </c>
      <c r="AC7" s="340">
        <f t="shared" ref="AC7:AC9" si="23">O7</f>
        <v>30</v>
      </c>
      <c r="AD7" s="340">
        <f t="shared" ref="AD7:AD9" si="24">P7</f>
        <v>3</v>
      </c>
      <c r="AE7" s="338">
        <f t="shared" ref="AE7:AE9" si="25">Q7</f>
        <v>1.411764705882353</v>
      </c>
      <c r="AF7" s="338">
        <f t="shared" ref="AF7:AF9" si="26">(AA7*X7)/1000</f>
        <v>0.38880000000000003</v>
      </c>
      <c r="AG7" s="341">
        <f t="shared" ref="AG7:AG9" si="27">AE7*X7/1000</f>
        <v>6.352941176470589E-5</v>
      </c>
      <c r="AH7" s="342">
        <f t="shared" ref="AH7:AH9" si="28">S7-AG7</f>
        <v>6.3465882352941178E-2</v>
      </c>
      <c r="AI7" s="342">
        <f t="shared" ref="AI7:AI9" si="29">(R7-AF7)</f>
        <v>0</v>
      </c>
      <c r="AJ7" s="342">
        <f t="shared" ref="AJ7:AJ9" si="30">IF(AI7&gt;0,Y7*Z7,0)</f>
        <v>0</v>
      </c>
      <c r="AK7" s="342">
        <f t="shared" ref="AK7:AK9" si="31">AI7/478.332</f>
        <v>0</v>
      </c>
    </row>
    <row r="8" spans="1:37" s="344" customFormat="1" x14ac:dyDescent="0.25">
      <c r="A8" s="329">
        <f>IF(UC_DADOS!$B$2=0,"",UC_DADOS!$B$2)</f>
        <v>7041435180</v>
      </c>
      <c r="B8" s="330" t="s">
        <v>668</v>
      </c>
      <c r="C8" s="330" t="s">
        <v>669</v>
      </c>
      <c r="D8" s="330" t="s">
        <v>666</v>
      </c>
      <c r="E8" s="330" t="s">
        <v>661</v>
      </c>
      <c r="F8" s="331" t="s">
        <v>662</v>
      </c>
      <c r="G8" s="330" t="s">
        <v>665</v>
      </c>
      <c r="H8" s="330">
        <v>120</v>
      </c>
      <c r="I8" s="332">
        <v>0.45</v>
      </c>
      <c r="J8" s="333">
        <f t="shared" si="0"/>
        <v>5.3999999999999999E-2</v>
      </c>
      <c r="K8" s="331">
        <v>1</v>
      </c>
      <c r="L8" s="334">
        <v>24</v>
      </c>
      <c r="M8" s="335">
        <f t="shared" si="14"/>
        <v>8640</v>
      </c>
      <c r="N8" s="334">
        <v>12</v>
      </c>
      <c r="O8" s="334">
        <v>30</v>
      </c>
      <c r="P8" s="332">
        <v>3</v>
      </c>
      <c r="Q8" s="333">
        <f t="shared" si="15"/>
        <v>1.411764705882353</v>
      </c>
      <c r="R8" s="336">
        <f t="shared" si="16"/>
        <v>0.46655999999999997</v>
      </c>
      <c r="S8" s="336">
        <f t="shared" si="17"/>
        <v>7.6235294117647068E-2</v>
      </c>
      <c r="T8" s="337" t="str">
        <f t="array" ref="T8">IF(F8="Ruim",IFERROR(INDEX('EQUIPAMENTOS_EFICIENTES (BDD)'!O:O,MATCH(1,('EQUIPAMENTOS_EFICIENTES (BDD)'!O:O=D8)*('EQUIPAMENTOS_EFICIENTES (BDD)'!T:T=E8),0)),""),D8)</f>
        <v>Geladeira</v>
      </c>
      <c r="U8" s="337" t="str">
        <f t="shared" si="18"/>
        <v>Grande</v>
      </c>
      <c r="V8" s="332">
        <f t="array" ref="V8">IF(F8="Ruim",IFERROR(INDEX('EQUIPAMENTOS_EFICIENTES (BDD)'!Q:Q,MATCH(1,('EQUIPAMENTOS_EFICIENTES (BDD)'!O:O=D8)*('EQUIPAMENTOS_EFICIENTES (BDD)'!T:T=E8),0)),H8),H8)</f>
        <v>120</v>
      </c>
      <c r="W8" s="332">
        <f t="array" ref="W8">IF(F8="Ruim",IFERROR(INDEX('EQUIPAMENTOS_EFICIENTES (BDD)'!S:S,MATCH(1,('EQUIPAMENTOS_EFICIENTES (BDD)'!O:O=D8)*('EQUIPAMENTOS_EFICIENTES (BDD)'!T:T=E8),0)),I8),I8)</f>
        <v>0.45</v>
      </c>
      <c r="X8" s="338">
        <f t="shared" si="19"/>
        <v>5.3999999999999999E-2</v>
      </c>
      <c r="Y8" s="339">
        <f t="shared" si="20"/>
        <v>1</v>
      </c>
      <c r="Z8" s="340">
        <f t="array" ref="Z8">IF(F8="Ruim",IFERROR(INDEX('EQUIPAMENTOS_EFICIENTES (BDD)'!U:U,MATCH(1,('EQUIPAMENTOS_EFICIENTES (BDD)'!O:O=D8)*('EQUIPAMENTOS_EFICIENTES (BDD)'!T:T=E8),0)),0),0)</f>
        <v>0</v>
      </c>
      <c r="AA8" s="340">
        <f t="shared" si="21"/>
        <v>8640</v>
      </c>
      <c r="AB8" s="340">
        <f t="shared" si="22"/>
        <v>12</v>
      </c>
      <c r="AC8" s="340">
        <f t="shared" si="23"/>
        <v>30</v>
      </c>
      <c r="AD8" s="340">
        <f t="shared" si="24"/>
        <v>3</v>
      </c>
      <c r="AE8" s="338">
        <f t="shared" si="25"/>
        <v>1.411764705882353</v>
      </c>
      <c r="AF8" s="338">
        <f t="shared" si="26"/>
        <v>0.46655999999999997</v>
      </c>
      <c r="AG8" s="341">
        <f t="shared" si="27"/>
        <v>7.6235294117647071E-5</v>
      </c>
      <c r="AH8" s="342">
        <f t="shared" si="28"/>
        <v>7.6159058823529427E-2</v>
      </c>
      <c r="AI8" s="342">
        <f t="shared" si="29"/>
        <v>0</v>
      </c>
      <c r="AJ8" s="342">
        <f t="shared" si="30"/>
        <v>0</v>
      </c>
      <c r="AK8" s="342">
        <f t="shared" si="31"/>
        <v>0</v>
      </c>
    </row>
    <row r="9" spans="1:37" s="344" customFormat="1" x14ac:dyDescent="0.25">
      <c r="A9" s="329">
        <f>IF(UC_DADOS!$B$2=0,"",UC_DADOS!$B$2)</f>
        <v>7041435180</v>
      </c>
      <c r="B9" s="330" t="s">
        <v>658</v>
      </c>
      <c r="C9" s="330" t="s">
        <v>671</v>
      </c>
      <c r="D9" s="330" t="s">
        <v>672</v>
      </c>
      <c r="E9" s="331" t="s">
        <v>673</v>
      </c>
      <c r="F9" s="331" t="s">
        <v>662</v>
      </c>
      <c r="G9" s="330" t="s">
        <v>665</v>
      </c>
      <c r="H9" s="345">
        <v>220</v>
      </c>
      <c r="I9" s="332">
        <v>0.6</v>
      </c>
      <c r="J9" s="333">
        <f t="shared" si="0"/>
        <v>0.13200000000000001</v>
      </c>
      <c r="K9" s="331">
        <v>1</v>
      </c>
      <c r="L9" s="334">
        <v>24</v>
      </c>
      <c r="M9" s="335">
        <f t="shared" si="14"/>
        <v>8640</v>
      </c>
      <c r="N9" s="334">
        <v>12</v>
      </c>
      <c r="O9" s="334">
        <v>30</v>
      </c>
      <c r="P9" s="332">
        <v>3</v>
      </c>
      <c r="Q9" s="333">
        <f t="shared" si="15"/>
        <v>1.411764705882353</v>
      </c>
      <c r="R9" s="336">
        <f t="shared" si="16"/>
        <v>1.1404799999999999</v>
      </c>
      <c r="S9" s="336">
        <f t="shared" si="17"/>
        <v>0.18635294117647061</v>
      </c>
      <c r="T9" s="337" t="str">
        <f t="array" ref="T9">IF(F9="Ruim",IFERROR(INDEX('EQUIPAMENTOS_EFICIENTES (BDD)'!O:O,MATCH(1,('EQUIPAMENTOS_EFICIENTES (BDD)'!O:O=D9)*('EQUIPAMENTOS_EFICIENTES (BDD)'!T:T=E9),0)),""),D9)</f>
        <v>Bebedouro</v>
      </c>
      <c r="U9" s="337" t="str">
        <f t="shared" si="18"/>
        <v>Médio</v>
      </c>
      <c r="V9" s="332">
        <f t="array" ref="V9">IF(F9="Ruim",IFERROR(INDEX('EQUIPAMENTOS_EFICIENTES (BDD)'!Q:Q,MATCH(1,('EQUIPAMENTOS_EFICIENTES (BDD)'!O:O=D9)*('EQUIPAMENTOS_EFICIENTES (BDD)'!T:T=E9),0)),H9),H9)</f>
        <v>220</v>
      </c>
      <c r="W9" s="332">
        <f t="array" ref="W9">IF(F9="Ruim",IFERROR(INDEX('EQUIPAMENTOS_EFICIENTES (BDD)'!S:S,MATCH(1,('EQUIPAMENTOS_EFICIENTES (BDD)'!O:O=D9)*('EQUIPAMENTOS_EFICIENTES (BDD)'!T:T=E9),0)),I9),I9)</f>
        <v>0.6</v>
      </c>
      <c r="X9" s="338">
        <f t="shared" si="19"/>
        <v>0.13200000000000001</v>
      </c>
      <c r="Y9" s="339">
        <f t="shared" si="20"/>
        <v>1</v>
      </c>
      <c r="Z9" s="340">
        <f t="array" ref="Z9">IF(F9="Ruim",IFERROR(INDEX('EQUIPAMENTOS_EFICIENTES (BDD)'!U:U,MATCH(1,('EQUIPAMENTOS_EFICIENTES (BDD)'!O:O=D9)*('EQUIPAMENTOS_EFICIENTES (BDD)'!T:T=E9),0)),0),0)</f>
        <v>0</v>
      </c>
      <c r="AA9" s="340">
        <f t="shared" si="21"/>
        <v>8640</v>
      </c>
      <c r="AB9" s="340">
        <f t="shared" si="22"/>
        <v>12</v>
      </c>
      <c r="AC9" s="340">
        <f t="shared" si="23"/>
        <v>30</v>
      </c>
      <c r="AD9" s="340">
        <f t="shared" si="24"/>
        <v>3</v>
      </c>
      <c r="AE9" s="338">
        <f t="shared" si="25"/>
        <v>1.411764705882353</v>
      </c>
      <c r="AF9" s="338">
        <f t="shared" si="26"/>
        <v>1.1404799999999999</v>
      </c>
      <c r="AG9" s="341">
        <f t="shared" si="27"/>
        <v>1.8635294117647062E-4</v>
      </c>
      <c r="AH9" s="342">
        <f t="shared" si="28"/>
        <v>0.18616658823529414</v>
      </c>
      <c r="AI9" s="342">
        <f t="shared" si="29"/>
        <v>0</v>
      </c>
      <c r="AJ9" s="342">
        <f t="shared" si="30"/>
        <v>0</v>
      </c>
      <c r="AK9" s="342">
        <f t="shared" si="31"/>
        <v>0</v>
      </c>
    </row>
    <row r="10" spans="1:37" s="66" customFormat="1" x14ac:dyDescent="0.25">
      <c r="A10" s="187"/>
      <c r="B10" s="188"/>
      <c r="C10" s="189"/>
      <c r="D10" s="184" t="s">
        <v>648</v>
      </c>
      <c r="E10" s="190"/>
      <c r="F10" s="190"/>
      <c r="G10" s="190"/>
      <c r="H10" s="191"/>
      <c r="I10" s="191"/>
      <c r="J10" s="192">
        <f>SUBTOTAL(9,J3:J9)</f>
        <v>0.6169</v>
      </c>
      <c r="K10" s="192">
        <f>SUBTOTAL(9,K3:K9)</f>
        <v>7</v>
      </c>
      <c r="L10" s="192"/>
      <c r="M10" s="192"/>
      <c r="N10" s="192"/>
      <c r="O10" s="192"/>
      <c r="P10" s="192"/>
      <c r="Q10" s="192"/>
      <c r="R10" s="192">
        <f>SUBTOTAL(9,R3:R9)</f>
        <v>5.3300160000000005</v>
      </c>
      <c r="S10" s="192">
        <f>SUBTOTAL(9,S3:S9)</f>
        <v>0.87091764705882369</v>
      </c>
      <c r="T10" s="184"/>
      <c r="U10" s="184"/>
      <c r="V10" s="192"/>
      <c r="W10" s="192"/>
      <c r="X10" s="192">
        <f>SUBTOTAL(9,X3:X9)</f>
        <v>0.6079</v>
      </c>
      <c r="Y10" s="192">
        <f>SUM(Y3:Y9)</f>
        <v>7</v>
      </c>
      <c r="Z10" s="192">
        <f>SUBTOTAL(9,Z3:Z6)</f>
        <v>0</v>
      </c>
      <c r="AA10" s="192"/>
      <c r="AB10" s="192"/>
      <c r="AC10" s="192"/>
      <c r="AD10" s="192"/>
      <c r="AE10" s="192"/>
      <c r="AF10" s="192">
        <f>SUBTOTAL(9,AF3:AF9)</f>
        <v>5.2522560000000009</v>
      </c>
      <c r="AG10" s="192">
        <f>SUBTOTAL(9,AG3:AG6)</f>
        <v>5.3209411764705886E-4</v>
      </c>
      <c r="AH10" s="351">
        <f>SUM(AH3:AH9)</f>
        <v>0.87005943529411778</v>
      </c>
      <c r="AI10" s="351">
        <f>SUM(AI3:AI9)</f>
        <v>7.7760000000000051E-2</v>
      </c>
      <c r="AJ10" s="351">
        <f>SUM(AJ3:AJ6)</f>
        <v>0</v>
      </c>
      <c r="AK10" s="352">
        <f>SUM(AK3:AK6)</f>
        <v>1.6256491307292854E-4</v>
      </c>
    </row>
  </sheetData>
  <autoFilter ref="A1:AK7" xr:uid="{00000000-0009-0000-0000-000009000000}">
    <filterColumn colId="11" showButton="0"/>
    <filterColumn colId="33">
      <filters blank="1">
        <filter val="10,63"/>
        <filter val="15,45"/>
        <filter val="15,84"/>
        <filter val="18,91"/>
        <filter val="20,28"/>
        <filter val="22,41"/>
        <filter val="22,80"/>
        <filter val="23,54"/>
        <filter val="24,15"/>
        <filter val="3,19"/>
        <filter val="46,56"/>
        <filter val="5,80"/>
        <filter val="Redução de demanda na ponta (kW)"/>
      </filters>
    </filterColumn>
  </autoFilter>
  <mergeCells count="4">
    <mergeCell ref="A1:C1"/>
    <mergeCell ref="D1:S1"/>
    <mergeCell ref="AH1:AK1"/>
    <mergeCell ref="T1:AG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24"/>
  <sheetViews>
    <sheetView zoomScale="90" zoomScaleNormal="90" workbookViewId="0">
      <pane xSplit="5" ySplit="3" topLeftCell="J7" activePane="bottomRight" state="frozen"/>
      <selection pane="topRight" activeCell="AB1" sqref="AB1"/>
      <selection pane="bottomLeft" activeCell="A5" sqref="A5"/>
      <selection pane="bottomRight" activeCell="D6" sqref="D6"/>
    </sheetView>
  </sheetViews>
  <sheetFormatPr defaultColWidth="8.85546875" defaultRowHeight="15" x14ac:dyDescent="0.25"/>
  <cols>
    <col min="1" max="1" width="36.85546875" style="55" customWidth="1"/>
    <col min="2" max="2" width="20.42578125" style="55" customWidth="1"/>
    <col min="3" max="3" width="32.140625" style="55" customWidth="1"/>
    <col min="4" max="4" width="32" style="55" customWidth="1"/>
    <col min="5" max="5" width="22.28515625" style="55" customWidth="1"/>
    <col min="6" max="6" width="31.7109375" style="56" customWidth="1"/>
    <col min="7" max="10" width="12.5703125" style="56" customWidth="1"/>
    <col min="11" max="11" width="17.42578125" style="56" customWidth="1"/>
    <col min="12" max="18" width="19.42578125" style="56" customWidth="1"/>
    <col min="19" max="19" width="20.7109375" style="56" customWidth="1"/>
    <col min="20" max="20" width="32" style="56" customWidth="1"/>
    <col min="21" max="24" width="13.28515625" style="56" customWidth="1"/>
    <col min="25" max="32" width="20" style="56" customWidth="1"/>
    <col min="33" max="34" width="18.42578125" style="56" customWidth="1"/>
    <col min="35" max="35" width="28.140625" style="55" customWidth="1"/>
    <col min="36" max="36" width="8.85546875" style="55" customWidth="1"/>
    <col min="37" max="16384" width="8.85546875" style="55"/>
  </cols>
  <sheetData>
    <row r="1" spans="1:35" ht="30.75" customHeight="1" thickBot="1" x14ac:dyDescent="0.3">
      <c r="A1" s="414" t="s">
        <v>649</v>
      </c>
      <c r="B1" s="415"/>
      <c r="C1" s="415"/>
      <c r="D1" s="415"/>
      <c r="E1" s="414" t="s">
        <v>603</v>
      </c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22" t="s">
        <v>604</v>
      </c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395"/>
      <c r="AG1" s="394" t="s">
        <v>605</v>
      </c>
      <c r="AH1" s="393"/>
      <c r="AI1" s="196" t="s">
        <v>674</v>
      </c>
    </row>
    <row r="2" spans="1:35" s="66" customFormat="1" ht="24" customHeight="1" x14ac:dyDescent="0.25">
      <c r="A2" s="403" t="s">
        <v>608</v>
      </c>
      <c r="B2" s="403" t="s">
        <v>609</v>
      </c>
      <c r="C2" s="403" t="s">
        <v>610</v>
      </c>
      <c r="D2" s="408" t="s">
        <v>611</v>
      </c>
      <c r="E2" s="423" t="s">
        <v>612</v>
      </c>
      <c r="F2" s="416" t="s">
        <v>675</v>
      </c>
      <c r="G2" s="411"/>
      <c r="H2" s="416" t="s">
        <v>676</v>
      </c>
      <c r="I2" s="411"/>
      <c r="J2" s="405" t="s">
        <v>677</v>
      </c>
      <c r="K2" s="405" t="s">
        <v>620</v>
      </c>
      <c r="L2" s="405" t="s">
        <v>621</v>
      </c>
      <c r="M2" s="405" t="s">
        <v>622</v>
      </c>
      <c r="N2" s="405" t="s">
        <v>623</v>
      </c>
      <c r="O2" s="405" t="s">
        <v>624</v>
      </c>
      <c r="P2" s="405" t="s">
        <v>625</v>
      </c>
      <c r="Q2" s="405" t="s">
        <v>626</v>
      </c>
      <c r="R2" s="423" t="s">
        <v>627</v>
      </c>
      <c r="S2" s="424" t="s">
        <v>612</v>
      </c>
      <c r="T2" s="410" t="s">
        <v>675</v>
      </c>
      <c r="U2" s="411"/>
      <c r="V2" s="410" t="s">
        <v>676</v>
      </c>
      <c r="W2" s="411"/>
      <c r="X2" s="412" t="s">
        <v>677</v>
      </c>
      <c r="Y2" s="412" t="s">
        <v>621</v>
      </c>
      <c r="Z2" s="412" t="s">
        <v>629</v>
      </c>
      <c r="AA2" s="412" t="s">
        <v>657</v>
      </c>
      <c r="AB2" s="412" t="s">
        <v>624</v>
      </c>
      <c r="AC2" s="412" t="s">
        <v>625</v>
      </c>
      <c r="AD2" s="412" t="s">
        <v>626</v>
      </c>
      <c r="AE2" s="419" t="s">
        <v>627</v>
      </c>
      <c r="AF2" s="407" t="s">
        <v>631</v>
      </c>
      <c r="AG2" s="420" t="s">
        <v>632</v>
      </c>
      <c r="AH2" s="413" t="s">
        <v>634</v>
      </c>
      <c r="AI2" s="417" t="s">
        <v>678</v>
      </c>
    </row>
    <row r="3" spans="1:35" s="66" customFormat="1" ht="51" customHeight="1" x14ac:dyDescent="0.25">
      <c r="A3" s="404"/>
      <c r="B3" s="404"/>
      <c r="C3" s="404"/>
      <c r="D3" s="409"/>
      <c r="E3" s="421"/>
      <c r="F3" s="94" t="s">
        <v>679</v>
      </c>
      <c r="G3" s="94" t="s">
        <v>616</v>
      </c>
      <c r="H3" s="94" t="s">
        <v>679</v>
      </c>
      <c r="I3" s="94" t="s">
        <v>616</v>
      </c>
      <c r="J3" s="406"/>
      <c r="K3" s="406"/>
      <c r="L3" s="406"/>
      <c r="M3" s="406"/>
      <c r="N3" s="406"/>
      <c r="O3" s="406"/>
      <c r="P3" s="406"/>
      <c r="Q3" s="406"/>
      <c r="R3" s="421"/>
      <c r="S3" s="418"/>
      <c r="T3" s="95" t="s">
        <v>679</v>
      </c>
      <c r="U3" s="95" t="s">
        <v>616</v>
      </c>
      <c r="V3" s="95" t="s">
        <v>679</v>
      </c>
      <c r="W3" s="95" t="s">
        <v>616</v>
      </c>
      <c r="X3" s="406"/>
      <c r="Y3" s="406"/>
      <c r="Z3" s="406"/>
      <c r="AA3" s="406"/>
      <c r="AB3" s="406"/>
      <c r="AC3" s="406"/>
      <c r="AD3" s="406"/>
      <c r="AE3" s="409"/>
      <c r="AF3" s="404"/>
      <c r="AG3" s="421"/>
      <c r="AH3" s="409"/>
      <c r="AI3" s="418"/>
    </row>
    <row r="4" spans="1:35" s="91" customFormat="1" x14ac:dyDescent="0.25">
      <c r="A4" s="91">
        <f>IF(UC_DADOS!$B$2=0,"",UC_DADOS!$B$2)</f>
        <v>7041435180</v>
      </c>
      <c r="B4" s="310" t="s">
        <v>658</v>
      </c>
      <c r="C4" s="310" t="s">
        <v>635</v>
      </c>
      <c r="D4" s="310" t="s">
        <v>680</v>
      </c>
      <c r="E4" s="310" t="s">
        <v>681</v>
      </c>
      <c r="F4" s="311">
        <v>10</v>
      </c>
      <c r="G4" s="311">
        <v>2</v>
      </c>
      <c r="H4" s="92"/>
      <c r="I4" s="93"/>
      <c r="J4" s="138">
        <f t="shared" ref="J4:J23" si="0">(F4*G4+H4*I4)/1000</f>
        <v>0.02</v>
      </c>
      <c r="K4" s="312">
        <v>8</v>
      </c>
      <c r="L4" s="281">
        <f>K4*M4*N4</f>
        <v>2040</v>
      </c>
      <c r="M4" s="312">
        <v>12</v>
      </c>
      <c r="N4" s="92">
        <v>21.25</v>
      </c>
      <c r="O4" s="96">
        <v>0</v>
      </c>
      <c r="P4" s="138">
        <f t="shared" ref="P4:P23" si="1">M4*N4*O4/765</f>
        <v>0</v>
      </c>
      <c r="Q4" s="138">
        <f t="shared" ref="Q4:Q23" si="2">J4*L4/1000</f>
        <v>4.0800000000000003E-2</v>
      </c>
      <c r="R4" s="138">
        <f t="shared" ref="R4:R23" si="3">J4*P4</f>
        <v>0</v>
      </c>
      <c r="S4" s="93" t="s">
        <v>680</v>
      </c>
      <c r="T4" s="91">
        <v>20</v>
      </c>
      <c r="U4" s="93">
        <v>4</v>
      </c>
      <c r="V4" s="93"/>
      <c r="W4" s="93"/>
      <c r="X4" s="139">
        <f t="shared" ref="X4:X23" si="4">(T4*U4+V4*W4)/1000</f>
        <v>0.08</v>
      </c>
      <c r="Y4" s="140">
        <f t="shared" ref="Y4:Y23" si="5">L4</f>
        <v>2040</v>
      </c>
      <c r="Z4" s="140">
        <f t="shared" ref="Z4:Z23" si="6">M4</f>
        <v>12</v>
      </c>
      <c r="AA4" s="139">
        <f t="shared" ref="AA4:AA23" si="7">N4</f>
        <v>21.25</v>
      </c>
      <c r="AB4" s="139">
        <f t="shared" ref="AB4:AB23" si="8">O4</f>
        <v>0</v>
      </c>
      <c r="AC4" s="141">
        <f t="shared" ref="AC4:AC23" si="9">P4</f>
        <v>0</v>
      </c>
      <c r="AD4" s="141">
        <f t="shared" ref="AD4:AD23" si="10">X4*Y4/1000</f>
        <v>0.16320000000000001</v>
      </c>
      <c r="AE4" s="141">
        <f t="shared" ref="AE4:AE23" si="11">X4*AC4</f>
        <v>0</v>
      </c>
      <c r="AF4" s="142">
        <f t="shared" ref="AF4:AF23" si="12">R4-AE4</f>
        <v>0</v>
      </c>
      <c r="AG4" s="142">
        <f t="shared" ref="AG4:AG23" si="13">Q4-AD4</f>
        <v>-0.12240000000000001</v>
      </c>
      <c r="AH4" s="323">
        <f t="shared" ref="AH4:AH23" si="14">AG4/478.332</f>
        <v>-2.5588921502220217E-4</v>
      </c>
      <c r="AI4" s="142">
        <f>Q4*0.85</f>
        <v>3.4680000000000002E-2</v>
      </c>
    </row>
    <row r="5" spans="1:35" s="91" customFormat="1" x14ac:dyDescent="0.25">
      <c r="A5" s="91">
        <f>IF(UC_DADOS!$B$2=0,"",UC_DADOS!$B$2)</f>
        <v>7041435180</v>
      </c>
      <c r="B5" s="310" t="s">
        <v>658</v>
      </c>
      <c r="C5" s="310" t="s">
        <v>639</v>
      </c>
      <c r="D5" s="310" t="s">
        <v>680</v>
      </c>
      <c r="E5" s="310" t="s">
        <v>681</v>
      </c>
      <c r="F5" s="311">
        <v>15</v>
      </c>
      <c r="G5" s="311">
        <v>1</v>
      </c>
      <c r="H5" s="92"/>
      <c r="I5" s="93"/>
      <c r="J5" s="138">
        <f t="shared" si="0"/>
        <v>1.4999999999999999E-2</v>
      </c>
      <c r="K5" s="312">
        <v>8</v>
      </c>
      <c r="L5" s="281">
        <f t="shared" ref="L5:L23" si="15">K5*M5*N5</f>
        <v>2040</v>
      </c>
      <c r="M5" s="312">
        <v>12</v>
      </c>
      <c r="N5" s="92">
        <v>21.25</v>
      </c>
      <c r="O5" s="96">
        <v>0</v>
      </c>
      <c r="P5" s="138">
        <f t="shared" si="1"/>
        <v>0</v>
      </c>
      <c r="Q5" s="138">
        <f t="shared" si="2"/>
        <v>3.0599999999999999E-2</v>
      </c>
      <c r="R5" s="138">
        <f t="shared" si="3"/>
        <v>0</v>
      </c>
      <c r="S5" s="93" t="s">
        <v>680</v>
      </c>
      <c r="T5" s="93">
        <v>12</v>
      </c>
      <c r="U5" s="93">
        <v>1</v>
      </c>
      <c r="V5" s="93"/>
      <c r="W5" s="93"/>
      <c r="X5" s="139">
        <f t="shared" si="4"/>
        <v>1.2E-2</v>
      </c>
      <c r="Y5" s="140">
        <f t="shared" si="5"/>
        <v>2040</v>
      </c>
      <c r="Z5" s="140">
        <f t="shared" si="6"/>
        <v>12</v>
      </c>
      <c r="AA5" s="139">
        <f t="shared" si="7"/>
        <v>21.25</v>
      </c>
      <c r="AB5" s="139">
        <f t="shared" si="8"/>
        <v>0</v>
      </c>
      <c r="AC5" s="141">
        <f t="shared" si="9"/>
        <v>0</v>
      </c>
      <c r="AD5" s="141">
        <f t="shared" si="10"/>
        <v>2.4480000000000002E-2</v>
      </c>
      <c r="AE5" s="141">
        <f t="shared" si="11"/>
        <v>0</v>
      </c>
      <c r="AF5" s="142">
        <f t="shared" si="12"/>
        <v>0</v>
      </c>
      <c r="AG5" s="142">
        <f t="shared" si="13"/>
        <v>6.119999999999997E-3</v>
      </c>
      <c r="AH5" s="323">
        <f t="shared" si="14"/>
        <v>1.2794460751110101E-5</v>
      </c>
      <c r="AI5" s="142">
        <f t="shared" ref="AI5:AI23" si="16">Q5*0.85</f>
        <v>2.6009999999999998E-2</v>
      </c>
    </row>
    <row r="6" spans="1:35" s="91" customFormat="1" x14ac:dyDescent="0.25">
      <c r="A6" s="91">
        <f>IF(UC_DADOS!$B$2=0,"",UC_DADOS!$B$2)</f>
        <v>7041435180</v>
      </c>
      <c r="B6" s="310" t="s">
        <v>658</v>
      </c>
      <c r="C6" s="310" t="s">
        <v>682</v>
      </c>
      <c r="D6" s="310" t="s">
        <v>680</v>
      </c>
      <c r="E6" s="310" t="s">
        <v>681</v>
      </c>
      <c r="F6" s="311">
        <v>10</v>
      </c>
      <c r="G6" s="311">
        <v>1</v>
      </c>
      <c r="H6" s="92"/>
      <c r="I6" s="93"/>
      <c r="J6" s="138">
        <f t="shared" si="0"/>
        <v>0.01</v>
      </c>
      <c r="K6" s="312">
        <v>1</v>
      </c>
      <c r="L6" s="281">
        <f t="shared" si="15"/>
        <v>255</v>
      </c>
      <c r="M6" s="312">
        <v>12</v>
      </c>
      <c r="N6" s="92">
        <v>21.25</v>
      </c>
      <c r="O6" s="96">
        <v>0</v>
      </c>
      <c r="P6" s="138">
        <f t="shared" si="1"/>
        <v>0</v>
      </c>
      <c r="Q6" s="138">
        <f t="shared" si="2"/>
        <v>2.5500000000000002E-3</v>
      </c>
      <c r="R6" s="138">
        <f t="shared" si="3"/>
        <v>0</v>
      </c>
      <c r="S6" s="93" t="s">
        <v>680</v>
      </c>
      <c r="T6" s="91">
        <v>20</v>
      </c>
      <c r="U6" s="93">
        <v>48</v>
      </c>
      <c r="V6" s="93"/>
      <c r="W6" s="93"/>
      <c r="X6" s="139">
        <f t="shared" si="4"/>
        <v>0.96</v>
      </c>
      <c r="Y6" s="140">
        <f t="shared" si="5"/>
        <v>255</v>
      </c>
      <c r="Z6" s="140">
        <f t="shared" si="6"/>
        <v>12</v>
      </c>
      <c r="AA6" s="139">
        <f t="shared" si="7"/>
        <v>21.25</v>
      </c>
      <c r="AB6" s="139">
        <f t="shared" si="8"/>
        <v>0</v>
      </c>
      <c r="AC6" s="141">
        <f t="shared" si="9"/>
        <v>0</v>
      </c>
      <c r="AD6" s="141">
        <f t="shared" si="10"/>
        <v>0.24479999999999999</v>
      </c>
      <c r="AE6" s="141">
        <f t="shared" si="11"/>
        <v>0</v>
      </c>
      <c r="AF6" s="142">
        <f t="shared" si="12"/>
        <v>0</v>
      </c>
      <c r="AG6" s="142">
        <f t="shared" si="13"/>
        <v>-0.24224999999999999</v>
      </c>
      <c r="AH6" s="323">
        <f t="shared" si="14"/>
        <v>-5.0644740473144176E-4</v>
      </c>
      <c r="AI6" s="142">
        <f t="shared" si="16"/>
        <v>2.1675000000000002E-3</v>
      </c>
    </row>
    <row r="7" spans="1:35" s="91" customFormat="1" x14ac:dyDescent="0.25">
      <c r="A7" s="91">
        <f>IF(UC_DADOS!$B$2=0,"",UC_DADOS!$B$2)</f>
        <v>7041435180</v>
      </c>
      <c r="B7" s="310" t="s">
        <v>658</v>
      </c>
      <c r="C7" s="310" t="s">
        <v>683</v>
      </c>
      <c r="D7" s="310" t="s">
        <v>680</v>
      </c>
      <c r="E7" s="310" t="s">
        <v>681</v>
      </c>
      <c r="F7" s="311">
        <v>10</v>
      </c>
      <c r="G7" s="311">
        <v>5</v>
      </c>
      <c r="H7" s="92"/>
      <c r="I7" s="93"/>
      <c r="J7" s="138">
        <f t="shared" si="0"/>
        <v>0.05</v>
      </c>
      <c r="K7" s="312">
        <v>1</v>
      </c>
      <c r="L7" s="281">
        <f t="shared" si="15"/>
        <v>255</v>
      </c>
      <c r="M7" s="312">
        <v>12</v>
      </c>
      <c r="N7" s="92">
        <v>21.25</v>
      </c>
      <c r="O7" s="96">
        <v>0</v>
      </c>
      <c r="P7" s="138">
        <f t="shared" si="1"/>
        <v>0</v>
      </c>
      <c r="Q7" s="138">
        <f t="shared" si="2"/>
        <v>1.2749999999999999E-2</v>
      </c>
      <c r="R7" s="138">
        <f t="shared" si="3"/>
        <v>0</v>
      </c>
      <c r="S7" s="93" t="s">
        <v>680</v>
      </c>
      <c r="T7" s="91">
        <v>20</v>
      </c>
      <c r="U7" s="93">
        <v>2</v>
      </c>
      <c r="V7" s="93"/>
      <c r="W7" s="93"/>
      <c r="X7" s="139">
        <f t="shared" si="4"/>
        <v>0.04</v>
      </c>
      <c r="Y7" s="140">
        <f t="shared" si="5"/>
        <v>255</v>
      </c>
      <c r="Z7" s="140">
        <f t="shared" si="6"/>
        <v>12</v>
      </c>
      <c r="AA7" s="139">
        <f t="shared" si="7"/>
        <v>21.25</v>
      </c>
      <c r="AB7" s="139">
        <f t="shared" si="8"/>
        <v>0</v>
      </c>
      <c r="AC7" s="141">
        <f t="shared" si="9"/>
        <v>0</v>
      </c>
      <c r="AD7" s="141">
        <f t="shared" si="10"/>
        <v>1.0200000000000001E-2</v>
      </c>
      <c r="AE7" s="141">
        <f t="shared" si="11"/>
        <v>0</v>
      </c>
      <c r="AF7" s="142">
        <f t="shared" si="12"/>
        <v>0</v>
      </c>
      <c r="AG7" s="142">
        <f t="shared" si="13"/>
        <v>2.5499999999999984E-3</v>
      </c>
      <c r="AH7" s="323">
        <f t="shared" si="14"/>
        <v>5.3310253129625418E-6</v>
      </c>
      <c r="AI7" s="142">
        <f t="shared" si="16"/>
        <v>1.0837499999999998E-2</v>
      </c>
    </row>
    <row r="8" spans="1:35" s="91" customFormat="1" x14ac:dyDescent="0.25">
      <c r="A8" s="91">
        <f>IF(UC_DADOS!$B$2=0,"",UC_DADOS!$B$2)</f>
        <v>7041435180</v>
      </c>
      <c r="B8" s="310" t="s">
        <v>658</v>
      </c>
      <c r="C8" s="310" t="s">
        <v>671</v>
      </c>
      <c r="D8" s="310" t="s">
        <v>680</v>
      </c>
      <c r="E8" s="310" t="s">
        <v>681</v>
      </c>
      <c r="F8" s="311">
        <v>20</v>
      </c>
      <c r="G8" s="311">
        <v>12</v>
      </c>
      <c r="H8" s="92"/>
      <c r="I8" s="93"/>
      <c r="J8" s="138">
        <f t="shared" si="0"/>
        <v>0.24</v>
      </c>
      <c r="K8" s="312">
        <v>8</v>
      </c>
      <c r="L8" s="281">
        <f t="shared" si="15"/>
        <v>2040</v>
      </c>
      <c r="M8" s="312">
        <v>12</v>
      </c>
      <c r="N8" s="92">
        <v>21.25</v>
      </c>
      <c r="O8" s="96">
        <v>0</v>
      </c>
      <c r="P8" s="138">
        <f t="shared" si="1"/>
        <v>0</v>
      </c>
      <c r="Q8" s="138">
        <f t="shared" si="2"/>
        <v>0.48959999999999998</v>
      </c>
      <c r="R8" s="138">
        <f t="shared" si="3"/>
        <v>0</v>
      </c>
      <c r="S8" s="93" t="s">
        <v>680</v>
      </c>
      <c r="T8" s="91">
        <v>20</v>
      </c>
      <c r="U8" s="93">
        <v>8</v>
      </c>
      <c r="V8" s="93"/>
      <c r="W8" s="93"/>
      <c r="X8" s="139">
        <f t="shared" si="4"/>
        <v>0.16</v>
      </c>
      <c r="Y8" s="140">
        <f t="shared" si="5"/>
        <v>2040</v>
      </c>
      <c r="Z8" s="140">
        <f t="shared" si="6"/>
        <v>12</v>
      </c>
      <c r="AA8" s="139">
        <f t="shared" si="7"/>
        <v>21.25</v>
      </c>
      <c r="AB8" s="139">
        <f t="shared" si="8"/>
        <v>0</v>
      </c>
      <c r="AC8" s="141">
        <f t="shared" si="9"/>
        <v>0</v>
      </c>
      <c r="AD8" s="141">
        <f t="shared" si="10"/>
        <v>0.32640000000000002</v>
      </c>
      <c r="AE8" s="141">
        <f t="shared" si="11"/>
        <v>0</v>
      </c>
      <c r="AF8" s="142">
        <f t="shared" si="12"/>
        <v>0</v>
      </c>
      <c r="AG8" s="142">
        <f t="shared" si="13"/>
        <v>0.16319999999999996</v>
      </c>
      <c r="AH8" s="323">
        <f t="shared" si="14"/>
        <v>3.4118562002960278E-4</v>
      </c>
      <c r="AI8" s="142">
        <f t="shared" si="16"/>
        <v>0.41615999999999997</v>
      </c>
    </row>
    <row r="9" spans="1:35" s="91" customFormat="1" x14ac:dyDescent="0.25">
      <c r="A9" s="91">
        <f>IF(UC_DADOS!$B$2=0,"",UC_DADOS!$B$2)</f>
        <v>7041435180</v>
      </c>
      <c r="B9" s="310" t="s">
        <v>658</v>
      </c>
      <c r="C9" s="310" t="s">
        <v>684</v>
      </c>
      <c r="D9" s="310" t="s">
        <v>680</v>
      </c>
      <c r="E9" s="310" t="s">
        <v>681</v>
      </c>
      <c r="F9" s="311">
        <v>15</v>
      </c>
      <c r="G9" s="311">
        <v>1</v>
      </c>
      <c r="H9" s="92"/>
      <c r="I9" s="93"/>
      <c r="J9" s="138">
        <f t="shared" si="0"/>
        <v>1.4999999999999999E-2</v>
      </c>
      <c r="K9" s="312">
        <v>1</v>
      </c>
      <c r="L9" s="281">
        <f t="shared" si="15"/>
        <v>233.75</v>
      </c>
      <c r="M9" s="312">
        <v>11</v>
      </c>
      <c r="N9" s="92">
        <v>21.25</v>
      </c>
      <c r="O9" s="96">
        <v>0</v>
      </c>
      <c r="P9" s="138">
        <f t="shared" si="1"/>
        <v>0</v>
      </c>
      <c r="Q9" s="138">
        <f t="shared" si="2"/>
        <v>3.5062500000000003E-3</v>
      </c>
      <c r="R9" s="138">
        <f t="shared" si="3"/>
        <v>0</v>
      </c>
      <c r="S9" s="93" t="s">
        <v>680</v>
      </c>
      <c r="T9" s="91">
        <v>20</v>
      </c>
      <c r="U9" s="93">
        <v>8</v>
      </c>
      <c r="V9" s="93"/>
      <c r="W9" s="93"/>
      <c r="X9" s="139">
        <f t="shared" si="4"/>
        <v>0.16</v>
      </c>
      <c r="Y9" s="140">
        <f t="shared" si="5"/>
        <v>233.75</v>
      </c>
      <c r="Z9" s="140">
        <f t="shared" si="6"/>
        <v>11</v>
      </c>
      <c r="AA9" s="139">
        <f t="shared" si="7"/>
        <v>21.25</v>
      </c>
      <c r="AB9" s="139">
        <f t="shared" si="8"/>
        <v>0</v>
      </c>
      <c r="AC9" s="141">
        <f t="shared" si="9"/>
        <v>0</v>
      </c>
      <c r="AD9" s="141">
        <f t="shared" si="10"/>
        <v>3.7399999999999996E-2</v>
      </c>
      <c r="AE9" s="141">
        <f t="shared" si="11"/>
        <v>0</v>
      </c>
      <c r="AF9" s="142">
        <f t="shared" si="12"/>
        <v>0</v>
      </c>
      <c r="AG9" s="142">
        <f t="shared" si="13"/>
        <v>-3.3893749999999993E-2</v>
      </c>
      <c r="AH9" s="323">
        <f t="shared" si="14"/>
        <v>-7.0858211451460472E-5</v>
      </c>
      <c r="AI9" s="142">
        <f t="shared" si="16"/>
        <v>2.9803125000000003E-3</v>
      </c>
    </row>
    <row r="10" spans="1:35" s="91" customFormat="1" x14ac:dyDescent="0.25">
      <c r="A10" s="91">
        <f>IF(UC_DADOS!$B$2=0,"",UC_DADOS!$B$2)</f>
        <v>7041435180</v>
      </c>
      <c r="B10" s="310" t="s">
        <v>658</v>
      </c>
      <c r="C10" s="310" t="s">
        <v>685</v>
      </c>
      <c r="D10" s="310" t="s">
        <v>680</v>
      </c>
      <c r="E10" s="310" t="s">
        <v>681</v>
      </c>
      <c r="F10" s="311">
        <v>10</v>
      </c>
      <c r="G10" s="311">
        <v>7</v>
      </c>
      <c r="H10" s="92"/>
      <c r="I10" s="93"/>
      <c r="J10" s="138">
        <f t="shared" si="0"/>
        <v>7.0000000000000007E-2</v>
      </c>
      <c r="K10" s="312">
        <v>2</v>
      </c>
      <c r="L10" s="281">
        <f t="shared" si="15"/>
        <v>467.5</v>
      </c>
      <c r="M10" s="312">
        <v>11</v>
      </c>
      <c r="N10" s="92">
        <v>21.25</v>
      </c>
      <c r="O10" s="96">
        <v>0</v>
      </c>
      <c r="P10" s="138">
        <f t="shared" si="1"/>
        <v>0</v>
      </c>
      <c r="Q10" s="138">
        <f t="shared" si="2"/>
        <v>3.2725000000000004E-2</v>
      </c>
      <c r="R10" s="138">
        <f t="shared" si="3"/>
        <v>0</v>
      </c>
      <c r="S10" s="93" t="s">
        <v>680</v>
      </c>
      <c r="T10" s="91">
        <v>20</v>
      </c>
      <c r="U10" s="93">
        <v>4</v>
      </c>
      <c r="V10" s="93"/>
      <c r="W10" s="93"/>
      <c r="X10" s="139">
        <f t="shared" si="4"/>
        <v>0.08</v>
      </c>
      <c r="Y10" s="140">
        <f t="shared" si="5"/>
        <v>467.5</v>
      </c>
      <c r="Z10" s="140">
        <f t="shared" si="6"/>
        <v>11</v>
      </c>
      <c r="AA10" s="139">
        <f t="shared" si="7"/>
        <v>21.25</v>
      </c>
      <c r="AB10" s="139">
        <f t="shared" si="8"/>
        <v>0</v>
      </c>
      <c r="AC10" s="141">
        <f t="shared" si="9"/>
        <v>0</v>
      </c>
      <c r="AD10" s="141">
        <f t="shared" si="10"/>
        <v>3.7399999999999996E-2</v>
      </c>
      <c r="AE10" s="141">
        <f t="shared" si="11"/>
        <v>0</v>
      </c>
      <c r="AF10" s="142">
        <f t="shared" si="12"/>
        <v>0</v>
      </c>
      <c r="AG10" s="142">
        <f t="shared" si="13"/>
        <v>-4.6749999999999917E-3</v>
      </c>
      <c r="AH10" s="323">
        <f t="shared" si="14"/>
        <v>-9.7735464070979814E-6</v>
      </c>
      <c r="AI10" s="142">
        <f t="shared" si="16"/>
        <v>2.7816250000000004E-2</v>
      </c>
    </row>
    <row r="11" spans="1:35" s="91" customFormat="1" x14ac:dyDescent="0.25">
      <c r="A11" s="91">
        <f>IF(UC_DADOS!$B$2=0,"",UC_DADOS!$B$2)</f>
        <v>7041435180</v>
      </c>
      <c r="B11" s="310" t="s">
        <v>658</v>
      </c>
      <c r="C11" s="310" t="s">
        <v>641</v>
      </c>
      <c r="D11" s="310" t="s">
        <v>680</v>
      </c>
      <c r="E11" s="310" t="s">
        <v>681</v>
      </c>
      <c r="F11" s="311">
        <v>10</v>
      </c>
      <c r="G11" s="311">
        <v>4</v>
      </c>
      <c r="H11" s="92"/>
      <c r="I11" s="93"/>
      <c r="J11" s="138">
        <f t="shared" si="0"/>
        <v>0.04</v>
      </c>
      <c r="K11" s="312">
        <v>4</v>
      </c>
      <c r="L11" s="281">
        <f t="shared" si="15"/>
        <v>935</v>
      </c>
      <c r="M11" s="312">
        <v>11</v>
      </c>
      <c r="N11" s="92">
        <v>21.25</v>
      </c>
      <c r="O11" s="96">
        <v>0</v>
      </c>
      <c r="P11" s="138">
        <f t="shared" si="1"/>
        <v>0</v>
      </c>
      <c r="Q11" s="138">
        <f t="shared" si="2"/>
        <v>3.7399999999999996E-2</v>
      </c>
      <c r="R11" s="138">
        <f t="shared" si="3"/>
        <v>0</v>
      </c>
      <c r="S11" s="93" t="s">
        <v>680</v>
      </c>
      <c r="T11" s="91">
        <v>20</v>
      </c>
      <c r="U11" s="93">
        <v>2</v>
      </c>
      <c r="V11" s="93"/>
      <c r="W11" s="93"/>
      <c r="X11" s="139">
        <f t="shared" si="4"/>
        <v>0.04</v>
      </c>
      <c r="Y11" s="140">
        <f t="shared" si="5"/>
        <v>935</v>
      </c>
      <c r="Z11" s="140">
        <f t="shared" si="6"/>
        <v>11</v>
      </c>
      <c r="AA11" s="139">
        <f t="shared" si="7"/>
        <v>21.25</v>
      </c>
      <c r="AB11" s="139">
        <f t="shared" si="8"/>
        <v>0</v>
      </c>
      <c r="AC11" s="141">
        <f t="shared" si="9"/>
        <v>0</v>
      </c>
      <c r="AD11" s="141">
        <f t="shared" si="10"/>
        <v>3.7399999999999996E-2</v>
      </c>
      <c r="AE11" s="141">
        <f t="shared" si="11"/>
        <v>0</v>
      </c>
      <c r="AF11" s="142">
        <f t="shared" si="12"/>
        <v>0</v>
      </c>
      <c r="AG11" s="142">
        <f t="shared" si="13"/>
        <v>0</v>
      </c>
      <c r="AH11" s="323">
        <f t="shared" si="14"/>
        <v>0</v>
      </c>
      <c r="AI11" s="142">
        <f t="shared" si="16"/>
        <v>3.1789999999999999E-2</v>
      </c>
    </row>
    <row r="12" spans="1:35" s="91" customFormat="1" x14ac:dyDescent="0.25">
      <c r="A12" s="91">
        <f>IF(UC_DADOS!$B$2=0,"",UC_DADOS!$B$2)</f>
        <v>7041435180</v>
      </c>
      <c r="B12" s="310" t="s">
        <v>658</v>
      </c>
      <c r="C12" s="310" t="s">
        <v>659</v>
      </c>
      <c r="D12" s="310" t="s">
        <v>680</v>
      </c>
      <c r="E12" s="310" t="s">
        <v>681</v>
      </c>
      <c r="F12" s="311">
        <v>30</v>
      </c>
      <c r="G12" s="311">
        <v>2</v>
      </c>
      <c r="H12" s="92"/>
      <c r="I12" s="93"/>
      <c r="J12" s="138">
        <f t="shared" si="0"/>
        <v>0.06</v>
      </c>
      <c r="K12" s="312">
        <v>5</v>
      </c>
      <c r="L12" s="281">
        <f t="shared" si="15"/>
        <v>1168.75</v>
      </c>
      <c r="M12" s="312">
        <v>11</v>
      </c>
      <c r="N12" s="92">
        <v>21.25</v>
      </c>
      <c r="O12" s="96">
        <v>0</v>
      </c>
      <c r="P12" s="138">
        <f t="shared" si="1"/>
        <v>0</v>
      </c>
      <c r="Q12" s="138">
        <f t="shared" si="2"/>
        <v>7.0125000000000007E-2</v>
      </c>
      <c r="R12" s="138">
        <f t="shared" si="3"/>
        <v>0</v>
      </c>
      <c r="S12" s="93" t="s">
        <v>680</v>
      </c>
      <c r="T12" s="91">
        <v>150</v>
      </c>
      <c r="U12" s="93">
        <v>8</v>
      </c>
      <c r="V12" s="93"/>
      <c r="W12" s="93"/>
      <c r="X12" s="139">
        <f t="shared" si="4"/>
        <v>1.2</v>
      </c>
      <c r="Y12" s="140">
        <f t="shared" si="5"/>
        <v>1168.75</v>
      </c>
      <c r="Z12" s="140">
        <f t="shared" si="6"/>
        <v>11</v>
      </c>
      <c r="AA12" s="139">
        <f t="shared" si="7"/>
        <v>21.25</v>
      </c>
      <c r="AB12" s="139">
        <f t="shared" si="8"/>
        <v>0</v>
      </c>
      <c r="AC12" s="141">
        <f t="shared" si="9"/>
        <v>0</v>
      </c>
      <c r="AD12" s="141">
        <f t="shared" si="10"/>
        <v>1.4025000000000001</v>
      </c>
      <c r="AE12" s="141">
        <f t="shared" si="11"/>
        <v>0</v>
      </c>
      <c r="AF12" s="142">
        <f t="shared" si="12"/>
        <v>0</v>
      </c>
      <c r="AG12" s="142">
        <f t="shared" si="13"/>
        <v>-1.3323750000000001</v>
      </c>
      <c r="AH12" s="323">
        <f t="shared" si="14"/>
        <v>-2.7854607260229297E-3</v>
      </c>
      <c r="AI12" s="142">
        <f t="shared" si="16"/>
        <v>5.9606250000000006E-2</v>
      </c>
    </row>
    <row r="13" spans="1:35" s="91" customFormat="1" x14ac:dyDescent="0.25">
      <c r="A13" s="91">
        <f>IF(UC_DADOS!$B$2=0,"",UC_DADOS!$B$2)</f>
        <v>7041435180</v>
      </c>
      <c r="B13" s="310" t="s">
        <v>658</v>
      </c>
      <c r="C13" s="310" t="s">
        <v>686</v>
      </c>
      <c r="D13" s="310" t="s">
        <v>680</v>
      </c>
      <c r="E13" s="310" t="s">
        <v>681</v>
      </c>
      <c r="F13" s="311">
        <v>10</v>
      </c>
      <c r="G13" s="311">
        <v>1</v>
      </c>
      <c r="H13" s="92"/>
      <c r="I13" s="93"/>
      <c r="J13" s="138">
        <f t="shared" si="0"/>
        <v>0.01</v>
      </c>
      <c r="K13" s="312">
        <v>2</v>
      </c>
      <c r="L13" s="281">
        <f t="shared" si="15"/>
        <v>467.5</v>
      </c>
      <c r="M13" s="312">
        <v>11</v>
      </c>
      <c r="N13" s="92">
        <v>21.25</v>
      </c>
      <c r="O13" s="96">
        <v>0</v>
      </c>
      <c r="P13" s="138">
        <f t="shared" si="1"/>
        <v>0</v>
      </c>
      <c r="Q13" s="138">
        <f t="shared" si="2"/>
        <v>4.6749999999999995E-3</v>
      </c>
      <c r="R13" s="138">
        <f t="shared" si="3"/>
        <v>0</v>
      </c>
      <c r="S13" s="93" t="s">
        <v>680</v>
      </c>
      <c r="T13" s="91">
        <v>15</v>
      </c>
      <c r="U13" s="93">
        <v>15</v>
      </c>
      <c r="V13" s="93"/>
      <c r="W13" s="93"/>
      <c r="X13" s="139">
        <f t="shared" si="4"/>
        <v>0.22500000000000001</v>
      </c>
      <c r="Y13" s="140">
        <f t="shared" si="5"/>
        <v>467.5</v>
      </c>
      <c r="Z13" s="140">
        <f t="shared" si="6"/>
        <v>11</v>
      </c>
      <c r="AA13" s="139">
        <f t="shared" si="7"/>
        <v>21.25</v>
      </c>
      <c r="AB13" s="139">
        <f t="shared" si="8"/>
        <v>0</v>
      </c>
      <c r="AC13" s="141">
        <f t="shared" si="9"/>
        <v>0</v>
      </c>
      <c r="AD13" s="141">
        <f t="shared" si="10"/>
        <v>0.1051875</v>
      </c>
      <c r="AE13" s="141">
        <f t="shared" si="11"/>
        <v>0</v>
      </c>
      <c r="AF13" s="142">
        <f t="shared" si="12"/>
        <v>0</v>
      </c>
      <c r="AG13" s="142">
        <f t="shared" si="13"/>
        <v>-0.1005125</v>
      </c>
      <c r="AH13" s="323">
        <f t="shared" si="14"/>
        <v>-2.1013124775260699E-4</v>
      </c>
      <c r="AI13" s="142">
        <f t="shared" si="16"/>
        <v>3.9737499999999999E-3</v>
      </c>
    </row>
    <row r="14" spans="1:35" s="91" customFormat="1" x14ac:dyDescent="0.25">
      <c r="A14" s="91">
        <f>IF(UC_DADOS!$B$2=0,"",UC_DADOS!$B$2)</f>
        <v>7041435180</v>
      </c>
      <c r="B14" s="310" t="s">
        <v>687</v>
      </c>
      <c r="C14" s="310" t="s">
        <v>642</v>
      </c>
      <c r="D14" s="310" t="s">
        <v>680</v>
      </c>
      <c r="E14" s="310" t="s">
        <v>681</v>
      </c>
      <c r="F14" s="311">
        <v>15</v>
      </c>
      <c r="G14" s="311">
        <v>28</v>
      </c>
      <c r="H14" s="92"/>
      <c r="I14" s="93"/>
      <c r="J14" s="138">
        <f t="shared" si="0"/>
        <v>0.42</v>
      </c>
      <c r="K14" s="312">
        <v>8</v>
      </c>
      <c r="L14" s="281">
        <f t="shared" si="15"/>
        <v>1870</v>
      </c>
      <c r="M14" s="312">
        <v>11</v>
      </c>
      <c r="N14" s="92">
        <v>21.25</v>
      </c>
      <c r="O14" s="96">
        <v>0</v>
      </c>
      <c r="P14" s="138">
        <f t="shared" si="1"/>
        <v>0</v>
      </c>
      <c r="Q14" s="138">
        <f t="shared" si="2"/>
        <v>0.78539999999999999</v>
      </c>
      <c r="R14" s="138">
        <f t="shared" si="3"/>
        <v>0</v>
      </c>
      <c r="S14" s="93" t="s">
        <v>680</v>
      </c>
      <c r="T14" s="93">
        <v>40</v>
      </c>
      <c r="U14" s="93">
        <v>5</v>
      </c>
      <c r="V14" s="93"/>
      <c r="W14" s="93"/>
      <c r="X14" s="139">
        <f t="shared" si="4"/>
        <v>0.2</v>
      </c>
      <c r="Y14" s="140">
        <f t="shared" si="5"/>
        <v>1870</v>
      </c>
      <c r="Z14" s="140">
        <f t="shared" si="6"/>
        <v>11</v>
      </c>
      <c r="AA14" s="139">
        <f t="shared" si="7"/>
        <v>21.25</v>
      </c>
      <c r="AB14" s="139">
        <f t="shared" si="8"/>
        <v>0</v>
      </c>
      <c r="AC14" s="141">
        <f t="shared" si="9"/>
        <v>0</v>
      </c>
      <c r="AD14" s="141">
        <f t="shared" si="10"/>
        <v>0.374</v>
      </c>
      <c r="AE14" s="141">
        <f t="shared" si="11"/>
        <v>0</v>
      </c>
      <c r="AF14" s="142">
        <f t="shared" si="12"/>
        <v>0</v>
      </c>
      <c r="AG14" s="142">
        <f t="shared" si="13"/>
        <v>0.41139999999999999</v>
      </c>
      <c r="AH14" s="323">
        <f t="shared" si="14"/>
        <v>8.6007208382462392E-4</v>
      </c>
      <c r="AI14" s="142">
        <f t="shared" si="16"/>
        <v>0.66759000000000002</v>
      </c>
    </row>
    <row r="15" spans="1:35" s="91" customFormat="1" x14ac:dyDescent="0.25">
      <c r="A15" s="91">
        <f>IF(UC_DADOS!$B$2=0,"",UC_DADOS!$B$2)</f>
        <v>7041435180</v>
      </c>
      <c r="B15" s="310" t="s">
        <v>687</v>
      </c>
      <c r="C15" s="310" t="s">
        <v>688</v>
      </c>
      <c r="D15" s="310" t="s">
        <v>680</v>
      </c>
      <c r="E15" s="310" t="s">
        <v>681</v>
      </c>
      <c r="F15" s="311">
        <v>15</v>
      </c>
      <c r="G15" s="311">
        <v>5</v>
      </c>
      <c r="H15" s="92"/>
      <c r="I15" s="93"/>
      <c r="J15" s="138">
        <f t="shared" si="0"/>
        <v>7.4999999999999997E-2</v>
      </c>
      <c r="K15" s="312">
        <v>2</v>
      </c>
      <c r="L15" s="281">
        <f t="shared" si="15"/>
        <v>467.5</v>
      </c>
      <c r="M15" s="312">
        <v>11</v>
      </c>
      <c r="N15" s="92">
        <v>21.25</v>
      </c>
      <c r="O15" s="96">
        <v>0</v>
      </c>
      <c r="P15" s="138">
        <f t="shared" si="1"/>
        <v>0</v>
      </c>
      <c r="Q15" s="138">
        <f t="shared" si="2"/>
        <v>3.5062500000000003E-2</v>
      </c>
      <c r="R15" s="138">
        <f t="shared" si="3"/>
        <v>0</v>
      </c>
      <c r="S15" s="93" t="s">
        <v>680</v>
      </c>
      <c r="T15" s="91">
        <v>20</v>
      </c>
      <c r="U15" s="91">
        <v>4</v>
      </c>
      <c r="V15" s="93"/>
      <c r="W15" s="93"/>
      <c r="X15" s="139">
        <f t="shared" si="4"/>
        <v>0.08</v>
      </c>
      <c r="Y15" s="140">
        <f t="shared" si="5"/>
        <v>467.5</v>
      </c>
      <c r="Z15" s="140">
        <f t="shared" si="6"/>
        <v>11</v>
      </c>
      <c r="AA15" s="139">
        <f t="shared" si="7"/>
        <v>21.25</v>
      </c>
      <c r="AB15" s="139">
        <f t="shared" si="8"/>
        <v>0</v>
      </c>
      <c r="AC15" s="141">
        <f t="shared" si="9"/>
        <v>0</v>
      </c>
      <c r="AD15" s="141">
        <f t="shared" si="10"/>
        <v>3.7399999999999996E-2</v>
      </c>
      <c r="AE15" s="141">
        <f t="shared" si="11"/>
        <v>0</v>
      </c>
      <c r="AF15" s="142">
        <f t="shared" si="12"/>
        <v>0</v>
      </c>
      <c r="AG15" s="142">
        <f t="shared" si="13"/>
        <v>-2.3374999999999924E-3</v>
      </c>
      <c r="AH15" s="323">
        <f t="shared" si="14"/>
        <v>-4.8867732035489839E-6</v>
      </c>
      <c r="AI15" s="142">
        <f t="shared" si="16"/>
        <v>2.9803125000000003E-2</v>
      </c>
    </row>
    <row r="16" spans="1:35" s="91" customFormat="1" x14ac:dyDescent="0.25">
      <c r="A16" s="91">
        <f>IF(UC_DADOS!$B$2=0,"",UC_DADOS!$B$2)</f>
        <v>7041435180</v>
      </c>
      <c r="B16" s="310" t="s">
        <v>687</v>
      </c>
      <c r="C16" s="310" t="s">
        <v>689</v>
      </c>
      <c r="D16" s="310" t="s">
        <v>680</v>
      </c>
      <c r="E16" s="310" t="s">
        <v>690</v>
      </c>
      <c r="F16" s="311">
        <v>20</v>
      </c>
      <c r="G16" s="311">
        <v>8</v>
      </c>
      <c r="H16" s="92"/>
      <c r="I16" s="93"/>
      <c r="J16" s="138">
        <f t="shared" si="0"/>
        <v>0.16</v>
      </c>
      <c r="K16" s="312">
        <v>8</v>
      </c>
      <c r="L16" s="281">
        <f t="shared" si="15"/>
        <v>2040</v>
      </c>
      <c r="M16" s="312">
        <v>12</v>
      </c>
      <c r="N16" s="92">
        <v>21.25</v>
      </c>
      <c r="O16" s="96">
        <v>0</v>
      </c>
      <c r="P16" s="138">
        <f t="shared" si="1"/>
        <v>0</v>
      </c>
      <c r="Q16" s="138">
        <f t="shared" si="2"/>
        <v>0.32640000000000002</v>
      </c>
      <c r="R16" s="138">
        <f t="shared" si="3"/>
        <v>0</v>
      </c>
      <c r="S16" s="93" t="s">
        <v>680</v>
      </c>
      <c r="T16" s="91">
        <v>20</v>
      </c>
      <c r="U16" s="91">
        <v>6</v>
      </c>
      <c r="V16" s="93"/>
      <c r="W16" s="93"/>
      <c r="X16" s="139">
        <f t="shared" si="4"/>
        <v>0.12</v>
      </c>
      <c r="Y16" s="140">
        <f t="shared" si="5"/>
        <v>2040</v>
      </c>
      <c r="Z16" s="140">
        <f t="shared" si="6"/>
        <v>12</v>
      </c>
      <c r="AA16" s="139">
        <f t="shared" si="7"/>
        <v>21.25</v>
      </c>
      <c r="AB16" s="139">
        <f t="shared" si="8"/>
        <v>0</v>
      </c>
      <c r="AC16" s="141">
        <f t="shared" si="9"/>
        <v>0</v>
      </c>
      <c r="AD16" s="141">
        <f t="shared" si="10"/>
        <v>0.24479999999999999</v>
      </c>
      <c r="AE16" s="141">
        <f t="shared" si="11"/>
        <v>0</v>
      </c>
      <c r="AF16" s="142">
        <f t="shared" si="12"/>
        <v>0</v>
      </c>
      <c r="AG16" s="142">
        <f t="shared" si="13"/>
        <v>8.1600000000000034E-2</v>
      </c>
      <c r="AH16" s="323">
        <f t="shared" si="14"/>
        <v>1.705928100148015E-4</v>
      </c>
      <c r="AI16" s="142">
        <f t="shared" si="16"/>
        <v>0.27744000000000002</v>
      </c>
    </row>
    <row r="17" spans="1:35" s="91" customFormat="1" x14ac:dyDescent="0.25">
      <c r="A17" s="91">
        <f>IF(UC_DADOS!$B$2=0,"",UC_DADOS!$B$2)</f>
        <v>7041435180</v>
      </c>
      <c r="B17" s="310" t="s">
        <v>687</v>
      </c>
      <c r="C17" s="310" t="s">
        <v>691</v>
      </c>
      <c r="D17" s="310" t="s">
        <v>680</v>
      </c>
      <c r="E17" s="310" t="s">
        <v>681</v>
      </c>
      <c r="F17" s="311">
        <v>15</v>
      </c>
      <c r="G17" s="311">
        <v>11</v>
      </c>
      <c r="H17" s="92"/>
      <c r="I17" s="93"/>
      <c r="J17" s="138">
        <f t="shared" si="0"/>
        <v>0.16500000000000001</v>
      </c>
      <c r="K17" s="312">
        <v>8</v>
      </c>
      <c r="L17" s="281">
        <f t="shared" si="15"/>
        <v>2040</v>
      </c>
      <c r="M17" s="312">
        <v>12</v>
      </c>
      <c r="N17" s="92">
        <v>21.25</v>
      </c>
      <c r="O17" s="96">
        <v>0</v>
      </c>
      <c r="P17" s="138">
        <f t="shared" si="1"/>
        <v>0</v>
      </c>
      <c r="Q17" s="138">
        <f t="shared" si="2"/>
        <v>0.33660000000000001</v>
      </c>
      <c r="R17" s="138">
        <f t="shared" si="3"/>
        <v>0</v>
      </c>
      <c r="S17" s="93" t="s">
        <v>680</v>
      </c>
      <c r="T17" s="91">
        <v>20</v>
      </c>
      <c r="U17" s="91">
        <v>2</v>
      </c>
      <c r="V17" s="93"/>
      <c r="W17" s="93"/>
      <c r="X17" s="139">
        <f t="shared" si="4"/>
        <v>0.04</v>
      </c>
      <c r="Y17" s="140">
        <f t="shared" si="5"/>
        <v>2040</v>
      </c>
      <c r="Z17" s="140">
        <f t="shared" si="6"/>
        <v>12</v>
      </c>
      <c r="AA17" s="139">
        <f t="shared" si="7"/>
        <v>21.25</v>
      </c>
      <c r="AB17" s="139">
        <f t="shared" si="8"/>
        <v>0</v>
      </c>
      <c r="AC17" s="141">
        <f t="shared" si="9"/>
        <v>0</v>
      </c>
      <c r="AD17" s="141">
        <f t="shared" si="10"/>
        <v>8.1600000000000006E-2</v>
      </c>
      <c r="AE17" s="141">
        <f t="shared" si="11"/>
        <v>0</v>
      </c>
      <c r="AF17" s="142">
        <f t="shared" si="12"/>
        <v>0</v>
      </c>
      <c r="AG17" s="142">
        <f t="shared" si="13"/>
        <v>0.255</v>
      </c>
      <c r="AH17" s="323">
        <f t="shared" si="14"/>
        <v>5.3310253129625453E-4</v>
      </c>
      <c r="AI17" s="142">
        <f t="shared" si="16"/>
        <v>0.28610999999999998</v>
      </c>
    </row>
    <row r="18" spans="1:35" s="91" customFormat="1" x14ac:dyDescent="0.25">
      <c r="A18" s="91">
        <f>IF(UC_DADOS!$B$2=0,"",UC_DADOS!$B$2)</f>
        <v>7041435180</v>
      </c>
      <c r="B18" s="310" t="s">
        <v>692</v>
      </c>
      <c r="C18" s="310" t="s">
        <v>691</v>
      </c>
      <c r="D18" s="310" t="s">
        <v>680</v>
      </c>
      <c r="E18" s="310" t="s">
        <v>690</v>
      </c>
      <c r="F18" s="311">
        <v>20</v>
      </c>
      <c r="G18" s="311">
        <v>8</v>
      </c>
      <c r="H18" s="92"/>
      <c r="I18" s="93"/>
      <c r="J18" s="138">
        <f t="shared" si="0"/>
        <v>0.16</v>
      </c>
      <c r="K18" s="312">
        <v>8</v>
      </c>
      <c r="L18" s="281">
        <f t="shared" si="15"/>
        <v>2040</v>
      </c>
      <c r="M18" s="312">
        <v>12</v>
      </c>
      <c r="N18" s="92">
        <v>21.25</v>
      </c>
      <c r="O18" s="96">
        <v>0</v>
      </c>
      <c r="P18" s="138">
        <f t="shared" si="1"/>
        <v>0</v>
      </c>
      <c r="Q18" s="138">
        <f t="shared" si="2"/>
        <v>0.32640000000000002</v>
      </c>
      <c r="R18" s="138">
        <f t="shared" si="3"/>
        <v>0</v>
      </c>
      <c r="S18" s="93" t="s">
        <v>680</v>
      </c>
      <c r="T18" s="91">
        <v>20</v>
      </c>
      <c r="U18" s="93">
        <v>72</v>
      </c>
      <c r="V18" s="93"/>
      <c r="W18" s="93"/>
      <c r="X18" s="139">
        <f t="shared" si="4"/>
        <v>1.44</v>
      </c>
      <c r="Y18" s="140">
        <f t="shared" si="5"/>
        <v>2040</v>
      </c>
      <c r="Z18" s="140">
        <f t="shared" si="6"/>
        <v>12</v>
      </c>
      <c r="AA18" s="139">
        <f t="shared" si="7"/>
        <v>21.25</v>
      </c>
      <c r="AB18" s="139">
        <f t="shared" si="8"/>
        <v>0</v>
      </c>
      <c r="AC18" s="141">
        <f t="shared" si="9"/>
        <v>0</v>
      </c>
      <c r="AD18" s="141">
        <f t="shared" si="10"/>
        <v>2.9375999999999998</v>
      </c>
      <c r="AE18" s="141">
        <f t="shared" si="11"/>
        <v>0</v>
      </c>
      <c r="AF18" s="142">
        <f t="shared" si="12"/>
        <v>0</v>
      </c>
      <c r="AG18" s="142">
        <f t="shared" si="13"/>
        <v>-2.6111999999999997</v>
      </c>
      <c r="AH18" s="323">
        <f t="shared" si="14"/>
        <v>-5.4589699204736454E-3</v>
      </c>
      <c r="AI18" s="142">
        <f t="shared" si="16"/>
        <v>0.27744000000000002</v>
      </c>
    </row>
    <row r="19" spans="1:35" s="91" customFormat="1" x14ac:dyDescent="0.25">
      <c r="A19" s="91">
        <f>IF(UC_DADOS!$B$2=0,"",UC_DADOS!$B$2)</f>
        <v>7041435180</v>
      </c>
      <c r="B19" s="310" t="s">
        <v>692</v>
      </c>
      <c r="C19" s="310" t="s">
        <v>646</v>
      </c>
      <c r="D19" s="310" t="s">
        <v>680</v>
      </c>
      <c r="E19" s="310" t="s">
        <v>690</v>
      </c>
      <c r="F19" s="311">
        <v>20</v>
      </c>
      <c r="G19" s="311">
        <v>40</v>
      </c>
      <c r="H19" s="92"/>
      <c r="I19" s="93"/>
      <c r="J19" s="138">
        <f t="shared" si="0"/>
        <v>0.8</v>
      </c>
      <c r="K19" s="312">
        <v>8</v>
      </c>
      <c r="L19" s="281">
        <f t="shared" si="15"/>
        <v>1870</v>
      </c>
      <c r="M19" s="312">
        <v>11</v>
      </c>
      <c r="N19" s="92">
        <v>21.25</v>
      </c>
      <c r="O19" s="96">
        <v>0</v>
      </c>
      <c r="P19" s="138">
        <f t="shared" si="1"/>
        <v>0</v>
      </c>
      <c r="Q19" s="138">
        <f t="shared" si="2"/>
        <v>1.496</v>
      </c>
      <c r="R19" s="138">
        <f t="shared" si="3"/>
        <v>0</v>
      </c>
      <c r="S19" s="93" t="s">
        <v>680</v>
      </c>
      <c r="T19" s="91">
        <v>15</v>
      </c>
      <c r="U19" s="93">
        <v>24</v>
      </c>
      <c r="V19" s="93"/>
      <c r="W19" s="93"/>
      <c r="X19" s="139">
        <f t="shared" si="4"/>
        <v>0.36</v>
      </c>
      <c r="Y19" s="140">
        <f t="shared" si="5"/>
        <v>1870</v>
      </c>
      <c r="Z19" s="140">
        <f t="shared" si="6"/>
        <v>11</v>
      </c>
      <c r="AA19" s="139">
        <f t="shared" si="7"/>
        <v>21.25</v>
      </c>
      <c r="AB19" s="139">
        <f t="shared" si="8"/>
        <v>0</v>
      </c>
      <c r="AC19" s="141">
        <f t="shared" si="9"/>
        <v>0</v>
      </c>
      <c r="AD19" s="141">
        <f t="shared" si="10"/>
        <v>0.67319999999999991</v>
      </c>
      <c r="AE19" s="141">
        <f t="shared" si="11"/>
        <v>0</v>
      </c>
      <c r="AF19" s="142">
        <f t="shared" si="12"/>
        <v>0</v>
      </c>
      <c r="AG19" s="142">
        <f t="shared" si="13"/>
        <v>0.82280000000000009</v>
      </c>
      <c r="AH19" s="323">
        <f t="shared" si="14"/>
        <v>1.7201441676492481E-3</v>
      </c>
      <c r="AI19" s="142">
        <f t="shared" si="16"/>
        <v>1.2716000000000001</v>
      </c>
    </row>
    <row r="20" spans="1:35" s="91" customFormat="1" x14ac:dyDescent="0.25">
      <c r="A20" s="91">
        <f>IF(UC_DADOS!$B$2=0,"",UC_DADOS!$B$2)</f>
        <v>7041435180</v>
      </c>
      <c r="B20" s="310" t="s">
        <v>692</v>
      </c>
      <c r="C20" s="310" t="s">
        <v>647</v>
      </c>
      <c r="D20" s="310" t="s">
        <v>680</v>
      </c>
      <c r="E20" s="310" t="s">
        <v>690</v>
      </c>
      <c r="F20" s="311">
        <v>20</v>
      </c>
      <c r="G20" s="311">
        <v>8</v>
      </c>
      <c r="H20" s="92"/>
      <c r="I20" s="93"/>
      <c r="J20" s="138">
        <f t="shared" si="0"/>
        <v>0.16</v>
      </c>
      <c r="K20" s="312">
        <v>4</v>
      </c>
      <c r="L20" s="281">
        <f t="shared" si="15"/>
        <v>935</v>
      </c>
      <c r="M20" s="312">
        <v>11</v>
      </c>
      <c r="N20" s="92">
        <v>21.25</v>
      </c>
      <c r="O20" s="96">
        <v>0</v>
      </c>
      <c r="P20" s="138">
        <f t="shared" si="1"/>
        <v>0</v>
      </c>
      <c r="Q20" s="138">
        <f t="shared" si="2"/>
        <v>0.14959999999999998</v>
      </c>
      <c r="R20" s="138">
        <f t="shared" si="3"/>
        <v>0</v>
      </c>
      <c r="S20" s="93" t="s">
        <v>680</v>
      </c>
      <c r="T20" s="91">
        <v>20</v>
      </c>
      <c r="U20" s="91">
        <v>20</v>
      </c>
      <c r="V20" s="93"/>
      <c r="W20" s="93"/>
      <c r="X20" s="139">
        <f t="shared" si="4"/>
        <v>0.4</v>
      </c>
      <c r="Y20" s="140">
        <f t="shared" si="5"/>
        <v>935</v>
      </c>
      <c r="Z20" s="140">
        <f t="shared" si="6"/>
        <v>11</v>
      </c>
      <c r="AA20" s="139">
        <f t="shared" si="7"/>
        <v>21.25</v>
      </c>
      <c r="AB20" s="139">
        <f t="shared" si="8"/>
        <v>0</v>
      </c>
      <c r="AC20" s="141">
        <f t="shared" si="9"/>
        <v>0</v>
      </c>
      <c r="AD20" s="141">
        <f t="shared" si="10"/>
        <v>0.374</v>
      </c>
      <c r="AE20" s="141">
        <f t="shared" si="11"/>
        <v>0</v>
      </c>
      <c r="AF20" s="142">
        <f t="shared" si="12"/>
        <v>0</v>
      </c>
      <c r="AG20" s="142">
        <f t="shared" si="13"/>
        <v>-0.22440000000000002</v>
      </c>
      <c r="AH20" s="323">
        <f t="shared" si="14"/>
        <v>-4.69130227540704E-4</v>
      </c>
      <c r="AI20" s="142">
        <f t="shared" si="16"/>
        <v>0.12716</v>
      </c>
    </row>
    <row r="21" spans="1:35" s="91" customFormat="1" x14ac:dyDescent="0.25">
      <c r="A21" s="91">
        <f>IF(UC_DADOS!$B$2=0,"",UC_DADOS!$B$2)</f>
        <v>7041435180</v>
      </c>
      <c r="B21" s="310" t="s">
        <v>692</v>
      </c>
      <c r="C21" s="310" t="s">
        <v>693</v>
      </c>
      <c r="D21" s="310" t="s">
        <v>680</v>
      </c>
      <c r="E21" s="310" t="s">
        <v>681</v>
      </c>
      <c r="F21" s="311">
        <v>15</v>
      </c>
      <c r="G21" s="311">
        <v>5</v>
      </c>
      <c r="H21" s="92"/>
      <c r="I21" s="93"/>
      <c r="J21" s="138">
        <f t="shared" si="0"/>
        <v>7.4999999999999997E-2</v>
      </c>
      <c r="K21" s="312">
        <v>2</v>
      </c>
      <c r="L21" s="281">
        <f t="shared" si="15"/>
        <v>510</v>
      </c>
      <c r="M21" s="312">
        <v>12</v>
      </c>
      <c r="N21" s="92">
        <v>21.25</v>
      </c>
      <c r="O21" s="96">
        <v>0</v>
      </c>
      <c r="P21" s="138">
        <f t="shared" si="1"/>
        <v>0</v>
      </c>
      <c r="Q21" s="138">
        <f t="shared" si="2"/>
        <v>3.8249999999999999E-2</v>
      </c>
      <c r="R21" s="138">
        <f t="shared" si="3"/>
        <v>0</v>
      </c>
      <c r="S21" s="93" t="s">
        <v>680</v>
      </c>
      <c r="T21" s="91">
        <v>20</v>
      </c>
      <c r="U21" s="91">
        <v>12</v>
      </c>
      <c r="V21" s="93"/>
      <c r="W21" s="93"/>
      <c r="X21" s="139">
        <f t="shared" si="4"/>
        <v>0.24</v>
      </c>
      <c r="Y21" s="140">
        <f t="shared" si="5"/>
        <v>510</v>
      </c>
      <c r="Z21" s="140">
        <f t="shared" si="6"/>
        <v>12</v>
      </c>
      <c r="AA21" s="139">
        <f t="shared" si="7"/>
        <v>21.25</v>
      </c>
      <c r="AB21" s="139">
        <f t="shared" si="8"/>
        <v>0</v>
      </c>
      <c r="AC21" s="141">
        <f t="shared" si="9"/>
        <v>0</v>
      </c>
      <c r="AD21" s="141">
        <f t="shared" si="10"/>
        <v>0.12239999999999999</v>
      </c>
      <c r="AE21" s="141">
        <f t="shared" si="11"/>
        <v>0</v>
      </c>
      <c r="AF21" s="142">
        <f t="shared" si="12"/>
        <v>0</v>
      </c>
      <c r="AG21" s="142">
        <f t="shared" si="13"/>
        <v>-8.4150000000000003E-2</v>
      </c>
      <c r="AH21" s="323">
        <f t="shared" si="14"/>
        <v>-1.7592383532776399E-4</v>
      </c>
      <c r="AI21" s="142">
        <f t="shared" si="16"/>
        <v>3.25125E-2</v>
      </c>
    </row>
    <row r="22" spans="1:35" s="91" customFormat="1" x14ac:dyDescent="0.25">
      <c r="A22" s="91">
        <f>IF(UC_DADOS!$B$2=0,"",UC_DADOS!$B$2)</f>
        <v>7041435180</v>
      </c>
      <c r="B22" s="310" t="s">
        <v>658</v>
      </c>
      <c r="C22" s="310" t="s">
        <v>694</v>
      </c>
      <c r="D22" s="310" t="s">
        <v>680</v>
      </c>
      <c r="E22" s="310" t="s">
        <v>681</v>
      </c>
      <c r="F22" s="311">
        <v>15</v>
      </c>
      <c r="G22" s="311">
        <v>2</v>
      </c>
      <c r="H22" s="92"/>
      <c r="I22" s="93"/>
      <c r="J22" s="138">
        <f t="shared" si="0"/>
        <v>0.03</v>
      </c>
      <c r="K22" s="312">
        <v>6</v>
      </c>
      <c r="L22" s="281">
        <f t="shared" si="15"/>
        <v>1402.5</v>
      </c>
      <c r="M22" s="312">
        <v>11</v>
      </c>
      <c r="N22" s="92">
        <v>21.25</v>
      </c>
      <c r="O22" s="96">
        <v>0</v>
      </c>
      <c r="P22" s="138">
        <f t="shared" si="1"/>
        <v>0</v>
      </c>
      <c r="Q22" s="138">
        <f t="shared" si="2"/>
        <v>4.2074999999999994E-2</v>
      </c>
      <c r="R22" s="138">
        <f t="shared" si="3"/>
        <v>0</v>
      </c>
      <c r="S22" s="93" t="s">
        <v>680</v>
      </c>
      <c r="T22" s="91">
        <v>20</v>
      </c>
      <c r="U22" s="93">
        <v>30</v>
      </c>
      <c r="V22" s="93"/>
      <c r="W22" s="93"/>
      <c r="X22" s="139">
        <f t="shared" si="4"/>
        <v>0.6</v>
      </c>
      <c r="Y22" s="140">
        <f t="shared" si="5"/>
        <v>1402.5</v>
      </c>
      <c r="Z22" s="140">
        <f t="shared" si="6"/>
        <v>11</v>
      </c>
      <c r="AA22" s="139">
        <f t="shared" si="7"/>
        <v>21.25</v>
      </c>
      <c r="AB22" s="139">
        <f t="shared" si="8"/>
        <v>0</v>
      </c>
      <c r="AC22" s="141">
        <f t="shared" si="9"/>
        <v>0</v>
      </c>
      <c r="AD22" s="141">
        <f t="shared" si="10"/>
        <v>0.84150000000000003</v>
      </c>
      <c r="AE22" s="141">
        <f t="shared" si="11"/>
        <v>0</v>
      </c>
      <c r="AF22" s="142">
        <f t="shared" si="12"/>
        <v>0</v>
      </c>
      <c r="AG22" s="142">
        <f t="shared" si="13"/>
        <v>-0.79942500000000005</v>
      </c>
      <c r="AH22" s="323">
        <f t="shared" si="14"/>
        <v>-1.6712764356137579E-3</v>
      </c>
      <c r="AI22" s="142">
        <f t="shared" si="16"/>
        <v>3.5763749999999997E-2</v>
      </c>
    </row>
    <row r="23" spans="1:35" s="91" customFormat="1" x14ac:dyDescent="0.25">
      <c r="A23" s="91">
        <f>IF(UC_DADOS!$B$2=0,"",UC_DADOS!$B$2)</f>
        <v>7041435180</v>
      </c>
      <c r="B23" s="310" t="s">
        <v>658</v>
      </c>
      <c r="C23" s="310" t="s">
        <v>695</v>
      </c>
      <c r="D23" s="310" t="s">
        <v>680</v>
      </c>
      <c r="E23" s="310" t="s">
        <v>681</v>
      </c>
      <c r="F23" s="311">
        <v>20</v>
      </c>
      <c r="G23" s="311">
        <v>1</v>
      </c>
      <c r="H23" s="92"/>
      <c r="I23" s="93"/>
      <c r="J23" s="138">
        <f t="shared" si="0"/>
        <v>0.02</v>
      </c>
      <c r="K23" s="312">
        <v>3</v>
      </c>
      <c r="L23" s="281">
        <f t="shared" si="15"/>
        <v>701.25</v>
      </c>
      <c r="M23" s="312">
        <v>11</v>
      </c>
      <c r="N23" s="92">
        <v>21.25</v>
      </c>
      <c r="O23" s="96">
        <v>0</v>
      </c>
      <c r="P23" s="138">
        <f t="shared" si="1"/>
        <v>0</v>
      </c>
      <c r="Q23" s="138">
        <f t="shared" si="2"/>
        <v>1.4025000000000001E-2</v>
      </c>
      <c r="R23" s="138">
        <f t="shared" si="3"/>
        <v>0</v>
      </c>
      <c r="S23" s="93" t="s">
        <v>680</v>
      </c>
      <c r="T23" s="91">
        <v>20</v>
      </c>
      <c r="U23" s="93">
        <v>4</v>
      </c>
      <c r="V23" s="93"/>
      <c r="W23" s="93"/>
      <c r="X23" s="139">
        <f t="shared" si="4"/>
        <v>0.08</v>
      </c>
      <c r="Y23" s="140">
        <f t="shared" si="5"/>
        <v>701.25</v>
      </c>
      <c r="Z23" s="140">
        <f t="shared" si="6"/>
        <v>11</v>
      </c>
      <c r="AA23" s="139">
        <f t="shared" si="7"/>
        <v>21.25</v>
      </c>
      <c r="AB23" s="139">
        <f t="shared" si="8"/>
        <v>0</v>
      </c>
      <c r="AC23" s="141">
        <f t="shared" si="9"/>
        <v>0</v>
      </c>
      <c r="AD23" s="141">
        <f t="shared" si="10"/>
        <v>5.6100000000000004E-2</v>
      </c>
      <c r="AE23" s="141">
        <f t="shared" si="11"/>
        <v>0</v>
      </c>
      <c r="AF23" s="142">
        <f t="shared" si="12"/>
        <v>0</v>
      </c>
      <c r="AG23" s="142">
        <f t="shared" si="13"/>
        <v>-4.2075000000000001E-2</v>
      </c>
      <c r="AH23" s="323">
        <f t="shared" si="14"/>
        <v>-8.7961917663881997E-5</v>
      </c>
      <c r="AI23" s="142">
        <f t="shared" si="16"/>
        <v>1.1921250000000001E-2</v>
      </c>
    </row>
    <row r="24" spans="1:35" x14ac:dyDescent="0.25">
      <c r="A24" s="303"/>
      <c r="B24" s="303"/>
      <c r="C24" s="303"/>
      <c r="D24" s="303"/>
      <c r="E24" s="305" t="s">
        <v>648</v>
      </c>
      <c r="F24" s="304"/>
      <c r="G24" s="306">
        <f>SUM(G4:G23)</f>
        <v>152</v>
      </c>
      <c r="H24" s="304"/>
      <c r="I24" s="304"/>
      <c r="J24" s="306">
        <f>SUM(J4:J23)</f>
        <v>2.5949999999999998</v>
      </c>
      <c r="K24" s="306"/>
      <c r="L24" s="304"/>
      <c r="M24" s="304"/>
      <c r="N24" s="304"/>
      <c r="O24" s="304"/>
      <c r="P24" s="304"/>
      <c r="Q24" s="306">
        <f>SUM(Q4:Q23)</f>
        <v>4.2745437500000003</v>
      </c>
      <c r="R24" s="306">
        <f>SUM(R4:R23)</f>
        <v>0</v>
      </c>
      <c r="S24" s="304"/>
      <c r="T24" s="304"/>
      <c r="U24" s="306">
        <f>SUM(U4:U23)</f>
        <v>279</v>
      </c>
      <c r="V24" s="304"/>
      <c r="W24" s="304"/>
      <c r="X24" s="306">
        <f>SUM(X4:X23)</f>
        <v>6.5170000000000012</v>
      </c>
      <c r="Y24" s="304"/>
      <c r="Z24" s="304"/>
      <c r="AA24" s="304"/>
      <c r="AB24" s="304"/>
      <c r="AC24" s="304"/>
      <c r="AD24" s="306">
        <f t="shared" ref="AD24:AI24" si="17">SUM(AD4:AD23)</f>
        <v>8.1315674999999992</v>
      </c>
      <c r="AE24" s="306">
        <f t="shared" si="17"/>
        <v>0</v>
      </c>
      <c r="AF24" s="314">
        <f t="shared" si="17"/>
        <v>0</v>
      </c>
      <c r="AG24" s="314">
        <f t="shared" si="17"/>
        <v>-3.8570237500000002</v>
      </c>
      <c r="AH24" s="315">
        <f t="shared" si="17"/>
        <v>-8.0634867623324384E-3</v>
      </c>
      <c r="AI24" s="306">
        <f t="shared" si="17"/>
        <v>3.6333621875</v>
      </c>
    </row>
  </sheetData>
  <autoFilter ref="A2:AH24" xr:uid="{00000000-0009-0000-0000-00000A000000}">
    <filterColumn colId="0" hiddenButton="1"/>
    <filterColumn colId="1" hiddenButton="1"/>
    <filterColumn colId="2" hiddenButton="1"/>
    <filterColumn colId="3" hiddenButton="1"/>
  </autoFilter>
  <mergeCells count="35">
    <mergeCell ref="A2:A3"/>
    <mergeCell ref="E1:R1"/>
    <mergeCell ref="S1:AF1"/>
    <mergeCell ref="K2:K3"/>
    <mergeCell ref="E2:E3"/>
    <mergeCell ref="L2:L3"/>
    <mergeCell ref="H2:I2"/>
    <mergeCell ref="P2:P3"/>
    <mergeCell ref="AB2:AB3"/>
    <mergeCell ref="R2:R3"/>
    <mergeCell ref="S2:S3"/>
    <mergeCell ref="J2:J3"/>
    <mergeCell ref="M2:M3"/>
    <mergeCell ref="Y2:Y3"/>
    <mergeCell ref="AI2:AI3"/>
    <mergeCell ref="X2:X3"/>
    <mergeCell ref="AD2:AD3"/>
    <mergeCell ref="AE2:AE3"/>
    <mergeCell ref="AG2:AG3"/>
    <mergeCell ref="AG1:AH1"/>
    <mergeCell ref="B2:B3"/>
    <mergeCell ref="O2:O3"/>
    <mergeCell ref="AF2:AF3"/>
    <mergeCell ref="D2:D3"/>
    <mergeCell ref="V2:W2"/>
    <mergeCell ref="AA2:AA3"/>
    <mergeCell ref="AC2:AC3"/>
    <mergeCell ref="N2:N3"/>
    <mergeCell ref="C2:C3"/>
    <mergeCell ref="AH2:AH3"/>
    <mergeCell ref="Q2:Q3"/>
    <mergeCell ref="Z2:Z3"/>
    <mergeCell ref="T2:U2"/>
    <mergeCell ref="A1:D1"/>
    <mergeCell ref="F2:G2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6"/>
  <sheetViews>
    <sheetView showGridLines="0" zoomScale="85" zoomScaleNormal="85" workbookViewId="0">
      <pane xSplit="2" ySplit="2" topLeftCell="V3" activePane="bottomRight" state="frozen"/>
      <selection pane="topRight" activeCell="Q1" sqref="Q1"/>
      <selection pane="bottomLeft" activeCell="A8" sqref="A8"/>
      <selection pane="bottomRight" activeCell="S3" sqref="S3"/>
    </sheetView>
  </sheetViews>
  <sheetFormatPr defaultColWidth="8.85546875" defaultRowHeight="15" x14ac:dyDescent="0.25"/>
  <cols>
    <col min="1" max="1" width="19" style="54" customWidth="1"/>
    <col min="2" max="2" width="40.7109375" style="55" customWidth="1"/>
    <col min="3" max="17" width="18.85546875" style="56" customWidth="1"/>
    <col min="18" max="31" width="20.42578125" style="56" customWidth="1"/>
    <col min="32" max="34" width="18.42578125" style="56" customWidth="1"/>
    <col min="35" max="35" width="8.85546875" style="55" customWidth="1"/>
    <col min="36" max="16384" width="8.85546875" style="55"/>
  </cols>
  <sheetData>
    <row r="1" spans="1:34" ht="22.5" customHeight="1" thickBot="1" x14ac:dyDescent="0.3">
      <c r="A1" s="55"/>
      <c r="C1" s="425" t="s">
        <v>603</v>
      </c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7"/>
      <c r="R1" s="428" t="s">
        <v>604</v>
      </c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394" t="s">
        <v>605</v>
      </c>
      <c r="AG1" s="393"/>
      <c r="AH1" s="393"/>
    </row>
    <row r="2" spans="1:34" s="66" customFormat="1" ht="81.75" customHeight="1" thickBot="1" x14ac:dyDescent="0.3">
      <c r="A2" s="57" t="s">
        <v>608</v>
      </c>
      <c r="B2" s="58" t="s">
        <v>611</v>
      </c>
      <c r="C2" s="57" t="s">
        <v>696</v>
      </c>
      <c r="D2" s="97" t="s">
        <v>697</v>
      </c>
      <c r="E2" s="98" t="s">
        <v>698</v>
      </c>
      <c r="F2" s="99" t="s">
        <v>699</v>
      </c>
      <c r="G2" s="99" t="s">
        <v>616</v>
      </c>
      <c r="H2" s="99" t="s">
        <v>617</v>
      </c>
      <c r="I2" s="99" t="s">
        <v>619</v>
      </c>
      <c r="J2" s="99" t="s">
        <v>620</v>
      </c>
      <c r="K2" s="99" t="s">
        <v>621</v>
      </c>
      <c r="L2" s="99" t="s">
        <v>622</v>
      </c>
      <c r="M2" s="99" t="s">
        <v>623</v>
      </c>
      <c r="N2" s="99" t="s">
        <v>624</v>
      </c>
      <c r="O2" s="99" t="s">
        <v>625</v>
      </c>
      <c r="P2" s="99" t="s">
        <v>626</v>
      </c>
      <c r="Q2" s="99" t="s">
        <v>627</v>
      </c>
      <c r="R2" s="100" t="s">
        <v>696</v>
      </c>
      <c r="S2" s="101" t="s">
        <v>697</v>
      </c>
      <c r="T2" s="62" t="s">
        <v>698</v>
      </c>
      <c r="U2" s="100" t="s">
        <v>699</v>
      </c>
      <c r="V2" s="100" t="s">
        <v>616</v>
      </c>
      <c r="W2" s="100" t="s">
        <v>617</v>
      </c>
      <c r="X2" s="100" t="s">
        <v>619</v>
      </c>
      <c r="Y2" s="100" t="s">
        <v>621</v>
      </c>
      <c r="Z2" s="100" t="s">
        <v>629</v>
      </c>
      <c r="AA2" s="100" t="s">
        <v>657</v>
      </c>
      <c r="AB2" s="100" t="s">
        <v>624</v>
      </c>
      <c r="AC2" s="100" t="s">
        <v>625</v>
      </c>
      <c r="AD2" s="100" t="s">
        <v>626</v>
      </c>
      <c r="AE2" s="100" t="s">
        <v>627</v>
      </c>
      <c r="AF2" s="63" t="s">
        <v>631</v>
      </c>
      <c r="AG2" s="64" t="s">
        <v>632</v>
      </c>
      <c r="AH2" s="65" t="s">
        <v>634</v>
      </c>
    </row>
    <row r="3" spans="1:34" s="66" customFormat="1" x14ac:dyDescent="0.25">
      <c r="A3" s="102">
        <f>IF(UC_DADOS!$B$2=0,"",UC_DADOS!$B$2)</f>
        <v>7041435180</v>
      </c>
      <c r="B3" s="145"/>
      <c r="C3" s="67"/>
      <c r="D3" s="146"/>
      <c r="E3" s="324"/>
      <c r="F3" s="325"/>
      <c r="G3" s="70"/>
      <c r="H3" s="147">
        <f>C3*0.736*G3</f>
        <v>0</v>
      </c>
      <c r="I3" s="147">
        <f>H3*D3</f>
        <v>0</v>
      </c>
      <c r="J3" s="68"/>
      <c r="K3" s="148">
        <f>J3*L3*M3</f>
        <v>0</v>
      </c>
      <c r="L3" s="68"/>
      <c r="M3" s="68"/>
      <c r="N3" s="68"/>
      <c r="O3" s="149">
        <f>L3*M3*N3/765</f>
        <v>0</v>
      </c>
      <c r="P3" s="149">
        <f>(K3*I3)/1000</f>
        <v>0</v>
      </c>
      <c r="Q3" s="149">
        <f>O3*I3</f>
        <v>0</v>
      </c>
      <c r="R3" s="67"/>
      <c r="S3" s="70"/>
      <c r="T3" s="324"/>
      <c r="U3" s="325"/>
      <c r="V3" s="150">
        <f>G3</f>
        <v>0</v>
      </c>
      <c r="W3" s="150">
        <f>R3*V3*0.736</f>
        <v>0</v>
      </c>
      <c r="X3" s="150">
        <f>W3*S3</f>
        <v>0</v>
      </c>
      <c r="Y3" s="151">
        <f t="shared" ref="Y3:AB5" si="0">K3</f>
        <v>0</v>
      </c>
      <c r="Z3" s="151">
        <f t="shared" si="0"/>
        <v>0</v>
      </c>
      <c r="AA3" s="150">
        <f t="shared" si="0"/>
        <v>0</v>
      </c>
      <c r="AB3" s="151">
        <f t="shared" si="0"/>
        <v>0</v>
      </c>
      <c r="AC3" s="150">
        <f>Z3*AA3*AB3/765</f>
        <v>0</v>
      </c>
      <c r="AD3" s="150">
        <f>(Y3*X3)/1000</f>
        <v>0</v>
      </c>
      <c r="AE3" s="150">
        <f>AC3*X3</f>
        <v>0</v>
      </c>
      <c r="AF3" s="152">
        <f>AE3-Q3</f>
        <v>0</v>
      </c>
      <c r="AG3" s="153">
        <f>P3-AD3</f>
        <v>0</v>
      </c>
      <c r="AH3" s="322">
        <f>AG3/1000</f>
        <v>0</v>
      </c>
    </row>
    <row r="4" spans="1:34" s="66" customFormat="1" x14ac:dyDescent="0.25">
      <c r="A4" s="102">
        <f>IF(UC_DADOS!$B$2=0,"",UC_DADOS!$B$2)</f>
        <v>7041435180</v>
      </c>
      <c r="B4" s="145"/>
      <c r="C4" s="67"/>
      <c r="D4" s="146"/>
      <c r="E4" s="154"/>
      <c r="F4" s="325"/>
      <c r="G4" s="70"/>
      <c r="H4" s="147">
        <f>C4*0.736*G4</f>
        <v>0</v>
      </c>
      <c r="I4" s="147">
        <f>H4*D4</f>
        <v>0</v>
      </c>
      <c r="J4" s="68"/>
      <c r="K4" s="148">
        <f>J4*L4*M4</f>
        <v>0</v>
      </c>
      <c r="L4" s="68"/>
      <c r="M4" s="68"/>
      <c r="N4" s="68"/>
      <c r="O4" s="149">
        <f>L4*M4*N4/765</f>
        <v>0</v>
      </c>
      <c r="P4" s="149">
        <f>(K4*I4)/1000</f>
        <v>0</v>
      </c>
      <c r="Q4" s="149">
        <f>O4*I4</f>
        <v>0</v>
      </c>
      <c r="R4" s="67"/>
      <c r="S4" s="70"/>
      <c r="T4" s="155"/>
      <c r="U4" s="325"/>
      <c r="V4" s="150">
        <f>G4</f>
        <v>0</v>
      </c>
      <c r="W4" s="150">
        <f>R4*V4*0.736</f>
        <v>0</v>
      </c>
      <c r="X4" s="150">
        <f>W4*S4</f>
        <v>0</v>
      </c>
      <c r="Y4" s="151">
        <f t="shared" si="0"/>
        <v>0</v>
      </c>
      <c r="Z4" s="151">
        <f t="shared" si="0"/>
        <v>0</v>
      </c>
      <c r="AA4" s="150">
        <f t="shared" si="0"/>
        <v>0</v>
      </c>
      <c r="AB4" s="151">
        <f t="shared" si="0"/>
        <v>0</v>
      </c>
      <c r="AC4" s="150">
        <f>Z4*AA4*AB4/765</f>
        <v>0</v>
      </c>
      <c r="AD4" s="150">
        <f>(Y4*X4)/1000</f>
        <v>0</v>
      </c>
      <c r="AE4" s="150">
        <f>AC4*X4</f>
        <v>0</v>
      </c>
      <c r="AF4" s="152">
        <f>AE4-Q4</f>
        <v>0</v>
      </c>
      <c r="AG4" s="153">
        <f>P4-AD4</f>
        <v>0</v>
      </c>
      <c r="AH4" s="322">
        <f>AG4/1000</f>
        <v>0</v>
      </c>
    </row>
    <row r="5" spans="1:34" s="66" customFormat="1" x14ac:dyDescent="0.25">
      <c r="A5" s="156">
        <f>IF(UC_DADOS!$B$2=0,"",UC_DADOS!$B$2)</f>
        <v>7041435180</v>
      </c>
      <c r="B5" s="157"/>
      <c r="C5" s="158"/>
      <c r="D5" s="159"/>
      <c r="E5" s="160"/>
      <c r="F5" s="326"/>
      <c r="G5" s="161"/>
      <c r="H5" s="147">
        <f>C5*0.736*G5</f>
        <v>0</v>
      </c>
      <c r="I5" s="162">
        <f>H5*D5</f>
        <v>0</v>
      </c>
      <c r="J5" s="163"/>
      <c r="K5" s="164">
        <f>J5*L5*M5</f>
        <v>0</v>
      </c>
      <c r="L5" s="163"/>
      <c r="M5" s="163"/>
      <c r="N5" s="163"/>
      <c r="O5" s="149">
        <f>L5*M5*N5/765</f>
        <v>0</v>
      </c>
      <c r="P5" s="165">
        <f>(K5*I5)/1000</f>
        <v>0</v>
      </c>
      <c r="Q5" s="165">
        <f>O5*I5</f>
        <v>0</v>
      </c>
      <c r="R5" s="158"/>
      <c r="S5" s="161"/>
      <c r="T5" s="160"/>
      <c r="U5" s="326"/>
      <c r="V5" s="150">
        <f>G5</f>
        <v>0</v>
      </c>
      <c r="W5" s="150">
        <f>R5*V5*0.736</f>
        <v>0</v>
      </c>
      <c r="X5" s="150">
        <f>W5*S5</f>
        <v>0</v>
      </c>
      <c r="Y5" s="151">
        <f t="shared" si="0"/>
        <v>0</v>
      </c>
      <c r="Z5" s="151">
        <f t="shared" si="0"/>
        <v>0</v>
      </c>
      <c r="AA5" s="150">
        <f t="shared" si="0"/>
        <v>0</v>
      </c>
      <c r="AB5" s="151">
        <f t="shared" si="0"/>
        <v>0</v>
      </c>
      <c r="AC5" s="150">
        <f>Z5*AA5*AB5/765</f>
        <v>0</v>
      </c>
      <c r="AD5" s="166">
        <f>(Y5*X5)/1000</f>
        <v>0</v>
      </c>
      <c r="AE5" s="166">
        <f>AC5*X5</f>
        <v>0</v>
      </c>
      <c r="AF5" s="167">
        <f>AE5-Q5</f>
        <v>0</v>
      </c>
      <c r="AG5" s="168">
        <f>P5-AD5</f>
        <v>0</v>
      </c>
      <c r="AH5" s="327">
        <f>AG5/1000</f>
        <v>0</v>
      </c>
    </row>
    <row r="6" spans="1:34" x14ac:dyDescent="0.25">
      <c r="A6" s="169"/>
      <c r="B6" s="170" t="s">
        <v>700</v>
      </c>
      <c r="C6" s="144">
        <f>SUM(C3:C5)</f>
        <v>0</v>
      </c>
      <c r="D6" s="143"/>
      <c r="E6" s="143"/>
      <c r="F6" s="143"/>
      <c r="G6" s="144">
        <f>SUM(G3:G5)</f>
        <v>0</v>
      </c>
      <c r="H6" s="144">
        <f>SUM(H3:H5)</f>
        <v>0</v>
      </c>
      <c r="I6" s="144">
        <f>SUM(I3:I5)</f>
        <v>0</v>
      </c>
      <c r="J6" s="143"/>
      <c r="K6" s="143"/>
      <c r="L6" s="143"/>
      <c r="M6" s="143"/>
      <c r="N6" s="143"/>
      <c r="O6" s="143"/>
      <c r="P6" s="144">
        <f>SUM(P3:P5)</f>
        <v>0</v>
      </c>
      <c r="Q6" s="144">
        <f>SUM(Q3:Q5)</f>
        <v>0</v>
      </c>
      <c r="R6" s="144">
        <f>SUM(R3:R5)</f>
        <v>0</v>
      </c>
      <c r="S6" s="143"/>
      <c r="T6" s="143"/>
      <c r="U6" s="143"/>
      <c r="V6" s="144">
        <f>SUM(V3:V5)</f>
        <v>0</v>
      </c>
      <c r="W6" s="144">
        <f>SUM(W3:W5)</f>
        <v>0</v>
      </c>
      <c r="X6" s="144">
        <f>SUM(X3:X5)</f>
        <v>0</v>
      </c>
      <c r="Y6" s="143"/>
      <c r="Z6" s="143"/>
      <c r="AA6" s="143"/>
      <c r="AB6" s="143"/>
      <c r="AC6" s="143"/>
      <c r="AD6" s="144">
        <f>SUM(AD3:AD5)</f>
        <v>0</v>
      </c>
      <c r="AE6" s="144">
        <f>SUM(AE3:AE5)</f>
        <v>0</v>
      </c>
      <c r="AF6" s="144">
        <f>SUM(AF3:AF5)</f>
        <v>0</v>
      </c>
      <c r="AG6" s="144">
        <f>SUM(AG3:AG5)</f>
        <v>0</v>
      </c>
      <c r="AH6" s="144">
        <f>SUM(AH3:AH5)</f>
        <v>0</v>
      </c>
    </row>
  </sheetData>
  <mergeCells count="3">
    <mergeCell ref="AF1:AH1"/>
    <mergeCell ref="C1:Q1"/>
    <mergeCell ref="R1:AE1"/>
  </mergeCells>
  <dataValidations count="2">
    <dataValidation type="whole" allowBlank="1" showInputMessage="1" showErrorMessage="1" sqref="J3:K5" xr:uid="{00000000-0002-0000-0B00-000000000000}">
      <formula1>0</formula1>
      <formula2>24</formula2>
    </dataValidation>
    <dataValidation type="decimal" operator="greaterThanOrEqual" allowBlank="1" showInputMessage="1" showErrorMessage="1" error="O valor precisa ser um número decimal_x000a_" sqref="H3:H5 W3:W5" xr:uid="{00000000-0002-0000-0B00-000001000000}">
      <formula1>0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0"/>
  <sheetViews>
    <sheetView zoomScale="96" zoomScaleNormal="96" workbookViewId="0">
      <pane xSplit="2" ySplit="2" topLeftCell="C36" activePane="bottomRight" state="frozen"/>
      <selection pane="topRight" activeCell="W1" sqref="W1"/>
      <selection pane="bottomLeft" activeCell="A3" sqref="A3"/>
      <selection pane="bottomRight" activeCell="J43" sqref="J43"/>
    </sheetView>
  </sheetViews>
  <sheetFormatPr defaultColWidth="8.85546875" defaultRowHeight="15" x14ac:dyDescent="0.25"/>
  <cols>
    <col min="1" max="1" width="19" style="55" customWidth="1"/>
    <col min="2" max="2" width="19.7109375" style="55" customWidth="1"/>
    <col min="3" max="3" width="18.85546875" style="56" customWidth="1"/>
    <col min="4" max="4" width="28.5703125" style="56" customWidth="1"/>
    <col min="5" max="10" width="18.85546875" style="56" customWidth="1"/>
    <col min="11" max="29" width="20.42578125" style="56" customWidth="1"/>
    <col min="30" max="32" width="18.42578125" style="56" customWidth="1"/>
    <col min="33" max="33" width="8.85546875" style="55" customWidth="1"/>
    <col min="34" max="16384" width="8.85546875" style="55"/>
  </cols>
  <sheetData>
    <row r="1" spans="1:32" ht="22.5" customHeight="1" x14ac:dyDescent="0.25">
      <c r="A1" s="429" t="s">
        <v>649</v>
      </c>
      <c r="B1" s="396"/>
      <c r="C1" s="430" t="s">
        <v>701</v>
      </c>
      <c r="D1" s="426"/>
      <c r="E1" s="426"/>
      <c r="F1" s="426"/>
      <c r="G1" s="426"/>
      <c r="H1" s="426"/>
      <c r="I1" s="426"/>
      <c r="J1" s="426"/>
      <c r="K1" s="425" t="s">
        <v>702</v>
      </c>
      <c r="L1" s="426"/>
      <c r="M1" s="426"/>
      <c r="N1" s="426"/>
      <c r="O1" s="426"/>
      <c r="P1" s="427"/>
      <c r="Q1" s="431" t="s">
        <v>703</v>
      </c>
      <c r="R1" s="426"/>
      <c r="S1" s="426"/>
      <c r="T1" s="426"/>
      <c r="U1" s="426"/>
      <c r="V1" s="426"/>
      <c r="W1" s="426"/>
      <c r="X1" s="426"/>
      <c r="Y1" s="426"/>
      <c r="Z1" s="427"/>
      <c r="AA1" s="425" t="s">
        <v>704</v>
      </c>
      <c r="AB1" s="426"/>
      <c r="AC1" s="427"/>
      <c r="AD1" s="394" t="s">
        <v>605</v>
      </c>
      <c r="AE1" s="393"/>
      <c r="AF1" s="393"/>
    </row>
    <row r="2" spans="1:32" s="66" customFormat="1" ht="81.75" customHeight="1" x14ac:dyDescent="0.25">
      <c r="A2" s="57" t="s">
        <v>608</v>
      </c>
      <c r="B2" s="58" t="s">
        <v>611</v>
      </c>
      <c r="C2" s="59" t="s">
        <v>705</v>
      </c>
      <c r="D2" s="109" t="s">
        <v>706</v>
      </c>
      <c r="E2" s="110" t="s">
        <v>707</v>
      </c>
      <c r="F2" s="60" t="s">
        <v>708</v>
      </c>
      <c r="G2" s="60" t="s">
        <v>709</v>
      </c>
      <c r="H2" s="60" t="s">
        <v>710</v>
      </c>
      <c r="I2" s="60" t="s">
        <v>711</v>
      </c>
      <c r="J2" s="60" t="s">
        <v>712</v>
      </c>
      <c r="K2" s="59" t="s">
        <v>713</v>
      </c>
      <c r="L2" s="109" t="s">
        <v>714</v>
      </c>
      <c r="M2" s="110" t="s">
        <v>715</v>
      </c>
      <c r="N2" s="60" t="s">
        <v>716</v>
      </c>
      <c r="O2" s="60" t="s">
        <v>717</v>
      </c>
      <c r="P2" s="61" t="s">
        <v>718</v>
      </c>
      <c r="Q2" s="60" t="s">
        <v>719</v>
      </c>
      <c r="R2" s="60" t="s">
        <v>720</v>
      </c>
      <c r="S2" s="60" t="s">
        <v>721</v>
      </c>
      <c r="T2" s="60" t="s">
        <v>625</v>
      </c>
      <c r="U2" s="60" t="s">
        <v>722</v>
      </c>
      <c r="V2" s="60" t="s">
        <v>723</v>
      </c>
      <c r="W2" s="60" t="s">
        <v>724</v>
      </c>
      <c r="X2" s="60" t="s">
        <v>725</v>
      </c>
      <c r="Y2" s="60" t="s">
        <v>726</v>
      </c>
      <c r="Z2" s="61" t="s">
        <v>727</v>
      </c>
      <c r="AA2" s="111" t="s">
        <v>728</v>
      </c>
      <c r="AB2" s="60" t="s">
        <v>724</v>
      </c>
      <c r="AC2" s="60" t="s">
        <v>729</v>
      </c>
      <c r="AD2" s="63" t="s">
        <v>631</v>
      </c>
      <c r="AE2" s="64" t="s">
        <v>632</v>
      </c>
      <c r="AF2" s="65" t="s">
        <v>634</v>
      </c>
    </row>
    <row r="3" spans="1:32" s="66" customFormat="1" ht="15" customHeight="1" x14ac:dyDescent="0.25">
      <c r="A3" s="102">
        <f>IF(UC_DADOS!$B$2=0,"",UC_DADOS!$B$2)</f>
        <v>7041435180</v>
      </c>
      <c r="B3" s="107"/>
      <c r="C3" s="67"/>
      <c r="D3" s="70"/>
      <c r="E3" s="70"/>
      <c r="F3" s="70"/>
      <c r="G3" s="70"/>
      <c r="H3" s="70"/>
      <c r="I3" s="293">
        <f>J3*E3</f>
        <v>0</v>
      </c>
      <c r="J3" s="70"/>
      <c r="K3" s="67"/>
      <c r="L3" s="70"/>
      <c r="M3" s="70"/>
      <c r="N3" s="70"/>
      <c r="O3" s="70"/>
      <c r="P3" s="112"/>
      <c r="Q3" s="70"/>
      <c r="R3" s="70"/>
      <c r="S3" s="70"/>
      <c r="T3" s="70"/>
      <c r="U3" s="113"/>
      <c r="V3" s="70"/>
      <c r="W3" s="70"/>
      <c r="X3" s="70"/>
      <c r="Y3" s="70"/>
      <c r="Z3" s="114"/>
      <c r="AA3" s="67"/>
      <c r="AB3" s="70"/>
      <c r="AC3" s="70"/>
      <c r="AD3" s="103"/>
      <c r="AE3" s="104"/>
      <c r="AF3" s="105"/>
    </row>
    <row r="4" spans="1:32" s="66" customFormat="1" ht="15" customHeight="1" x14ac:dyDescent="0.25">
      <c r="A4" s="102">
        <f>IF(UC_DADOS!$B$2=0,"",UC_DADOS!$B$2)</f>
        <v>7041435180</v>
      </c>
      <c r="B4" s="107"/>
      <c r="C4" s="67"/>
      <c r="D4" s="70"/>
      <c r="E4" s="70"/>
      <c r="F4" s="70"/>
      <c r="G4" s="70"/>
      <c r="H4" s="70"/>
      <c r="I4" s="293">
        <f t="shared" ref="I4:I67" si="0">J4*E4</f>
        <v>0</v>
      </c>
      <c r="J4" s="70"/>
      <c r="K4" s="67"/>
      <c r="L4" s="70"/>
      <c r="M4" s="70"/>
      <c r="N4" s="70"/>
      <c r="O4" s="70"/>
      <c r="P4" s="112"/>
      <c r="Q4" s="70"/>
      <c r="R4" s="70"/>
      <c r="S4" s="70"/>
      <c r="T4" s="70"/>
      <c r="U4" s="70"/>
      <c r="V4" s="70"/>
      <c r="W4" s="70"/>
      <c r="X4" s="70"/>
      <c r="Y4" s="70"/>
      <c r="Z4" s="108"/>
      <c r="AA4" s="67"/>
      <c r="AB4" s="70"/>
      <c r="AC4" s="70"/>
      <c r="AD4" s="71"/>
      <c r="AE4" s="73"/>
      <c r="AF4" s="108"/>
    </row>
    <row r="5" spans="1:32" s="66" customFormat="1" ht="15" customHeight="1" x14ac:dyDescent="0.25">
      <c r="A5" s="102">
        <f>IF(UC_DADOS!$B$2=0,"",UC_DADOS!$B$2)</f>
        <v>7041435180</v>
      </c>
      <c r="B5" s="107"/>
      <c r="C5" s="67"/>
      <c r="D5" s="70"/>
      <c r="E5" s="70"/>
      <c r="F5" s="70"/>
      <c r="G5" s="70"/>
      <c r="H5" s="70"/>
      <c r="I5" s="293">
        <f t="shared" si="0"/>
        <v>0</v>
      </c>
      <c r="J5" s="70"/>
      <c r="K5" s="67"/>
      <c r="L5" s="70"/>
      <c r="M5" s="70"/>
      <c r="N5" s="70"/>
      <c r="O5" s="70"/>
      <c r="P5" s="112"/>
      <c r="Q5" s="70"/>
      <c r="R5" s="70"/>
      <c r="S5" s="70"/>
      <c r="T5" s="70"/>
      <c r="U5" s="70"/>
      <c r="V5" s="70"/>
      <c r="W5" s="70"/>
      <c r="X5" s="70"/>
      <c r="Y5" s="70"/>
      <c r="Z5" s="108"/>
      <c r="AA5" s="67"/>
      <c r="AB5" s="70"/>
      <c r="AC5" s="70"/>
      <c r="AD5" s="71"/>
      <c r="AE5" s="73"/>
      <c r="AF5" s="108"/>
    </row>
    <row r="6" spans="1:32" s="66" customFormat="1" ht="15" customHeight="1" x14ac:dyDescent="0.25">
      <c r="A6" s="102">
        <f>IF(UC_DADOS!$B$2=0,"",UC_DADOS!$B$2)</f>
        <v>7041435180</v>
      </c>
      <c r="B6" s="107"/>
      <c r="C6" s="67"/>
      <c r="D6" s="70"/>
      <c r="E6" s="70"/>
      <c r="F6" s="70"/>
      <c r="G6" s="70"/>
      <c r="H6" s="70"/>
      <c r="I6" s="293">
        <f t="shared" si="0"/>
        <v>0</v>
      </c>
      <c r="J6" s="70"/>
      <c r="K6" s="67"/>
      <c r="L6" s="70"/>
      <c r="M6" s="70"/>
      <c r="N6" s="70"/>
      <c r="O6" s="70"/>
      <c r="P6" s="112"/>
      <c r="Q6" s="70"/>
      <c r="R6" s="70"/>
      <c r="S6" s="70"/>
      <c r="T6" s="70"/>
      <c r="U6" s="70"/>
      <c r="V6" s="70"/>
      <c r="W6" s="70"/>
      <c r="X6" s="70"/>
      <c r="Y6" s="70"/>
      <c r="Z6" s="108"/>
      <c r="AA6" s="67"/>
      <c r="AB6" s="70"/>
      <c r="AC6" s="70"/>
      <c r="AD6" s="71"/>
      <c r="AE6" s="73"/>
      <c r="AF6" s="108"/>
    </row>
    <row r="7" spans="1:32" s="66" customFormat="1" ht="15" customHeight="1" x14ac:dyDescent="0.25">
      <c r="A7" s="102">
        <f>IF(UC_DADOS!$B$2=0,"",UC_DADOS!$B$2)</f>
        <v>7041435180</v>
      </c>
      <c r="B7" s="107"/>
      <c r="C7" s="67"/>
      <c r="D7" s="70"/>
      <c r="E7" s="70"/>
      <c r="F7" s="70"/>
      <c r="G7" s="70"/>
      <c r="H7" s="70"/>
      <c r="I7" s="293">
        <f t="shared" si="0"/>
        <v>0</v>
      </c>
      <c r="J7" s="70"/>
      <c r="K7" s="67"/>
      <c r="L7" s="70"/>
      <c r="M7" s="70"/>
      <c r="N7" s="70"/>
      <c r="O7" s="70"/>
      <c r="P7" s="112"/>
      <c r="Q7" s="70"/>
      <c r="R7" s="70"/>
      <c r="S7" s="70"/>
      <c r="T7" s="70"/>
      <c r="U7" s="70"/>
      <c r="V7" s="70"/>
      <c r="W7" s="70"/>
      <c r="X7" s="70"/>
      <c r="Y7" s="70"/>
      <c r="Z7" s="108"/>
      <c r="AA7" s="67"/>
      <c r="AB7" s="70"/>
      <c r="AC7" s="70"/>
      <c r="AD7" s="71"/>
      <c r="AE7" s="73"/>
      <c r="AF7" s="108"/>
    </row>
    <row r="8" spans="1:32" s="66" customFormat="1" ht="15" customHeight="1" x14ac:dyDescent="0.25">
      <c r="A8" s="102">
        <f>IF(UC_DADOS!$B$2=0,"",UC_DADOS!$B$2)</f>
        <v>7041435180</v>
      </c>
      <c r="B8" s="107"/>
      <c r="C8" s="67"/>
      <c r="D8" s="70"/>
      <c r="E8" s="70"/>
      <c r="F8" s="70"/>
      <c r="G8" s="70"/>
      <c r="H8" s="70"/>
      <c r="I8" s="293">
        <f t="shared" si="0"/>
        <v>0</v>
      </c>
      <c r="J8" s="70"/>
      <c r="K8" s="67"/>
      <c r="L8" s="70"/>
      <c r="M8" s="70"/>
      <c r="N8" s="70"/>
      <c r="O8" s="70"/>
      <c r="P8" s="112"/>
      <c r="Q8" s="70"/>
      <c r="R8" s="70"/>
      <c r="S8" s="70"/>
      <c r="T8" s="70"/>
      <c r="U8" s="70"/>
      <c r="V8" s="70"/>
      <c r="W8" s="70"/>
      <c r="X8" s="70"/>
      <c r="Y8" s="70"/>
      <c r="Z8" s="108"/>
      <c r="AA8" s="67"/>
      <c r="AB8" s="70"/>
      <c r="AC8" s="70"/>
      <c r="AD8" s="71"/>
      <c r="AE8" s="73"/>
      <c r="AF8" s="108"/>
    </row>
    <row r="9" spans="1:32" s="66" customFormat="1" ht="15" customHeight="1" x14ac:dyDescent="0.25">
      <c r="A9" s="102">
        <f>IF(UC_DADOS!$B$2=0,"",UC_DADOS!$B$2)</f>
        <v>7041435180</v>
      </c>
      <c r="B9" s="107"/>
      <c r="C9" s="67"/>
      <c r="D9" s="70"/>
      <c r="E9" s="70"/>
      <c r="F9" s="70"/>
      <c r="G9" s="70"/>
      <c r="H9" s="70"/>
      <c r="I9" s="293">
        <f t="shared" si="0"/>
        <v>0</v>
      </c>
      <c r="J9" s="70"/>
      <c r="K9" s="67"/>
      <c r="L9" s="70"/>
      <c r="M9" s="70"/>
      <c r="N9" s="70"/>
      <c r="O9" s="70"/>
      <c r="P9" s="112"/>
      <c r="Q9" s="70"/>
      <c r="R9" s="70"/>
      <c r="S9" s="70"/>
      <c r="T9" s="70"/>
      <c r="U9" s="70"/>
      <c r="V9" s="70"/>
      <c r="W9" s="70"/>
      <c r="X9" s="70"/>
      <c r="Y9" s="70"/>
      <c r="Z9" s="108"/>
      <c r="AA9" s="67"/>
      <c r="AB9" s="70"/>
      <c r="AC9" s="70"/>
      <c r="AD9" s="71"/>
      <c r="AE9" s="73"/>
      <c r="AF9" s="108"/>
    </row>
    <row r="10" spans="1:32" s="66" customFormat="1" ht="15" customHeight="1" x14ac:dyDescent="0.25">
      <c r="A10" s="102">
        <f>IF(UC_DADOS!$B$2=0,"",UC_DADOS!$B$2)</f>
        <v>7041435180</v>
      </c>
      <c r="B10" s="107"/>
      <c r="C10" s="67"/>
      <c r="D10" s="70"/>
      <c r="E10" s="70"/>
      <c r="F10" s="70"/>
      <c r="G10" s="70"/>
      <c r="H10" s="70"/>
      <c r="I10" s="293">
        <f t="shared" si="0"/>
        <v>0</v>
      </c>
      <c r="J10" s="70"/>
      <c r="K10" s="67"/>
      <c r="L10" s="70"/>
      <c r="M10" s="70"/>
      <c r="N10" s="70"/>
      <c r="O10" s="70"/>
      <c r="P10" s="112"/>
      <c r="Q10" s="70"/>
      <c r="R10" s="70"/>
      <c r="S10" s="70"/>
      <c r="T10" s="70"/>
      <c r="U10" s="70"/>
      <c r="V10" s="70"/>
      <c r="W10" s="70"/>
      <c r="X10" s="70"/>
      <c r="Y10" s="70"/>
      <c r="Z10" s="108"/>
      <c r="AA10" s="67"/>
      <c r="AB10" s="70"/>
      <c r="AC10" s="70"/>
      <c r="AD10" s="71"/>
      <c r="AE10" s="73"/>
      <c r="AF10" s="108"/>
    </row>
    <row r="11" spans="1:32" s="66" customFormat="1" ht="15" customHeight="1" x14ac:dyDescent="0.25">
      <c r="A11" s="102">
        <f>IF(UC_DADOS!$B$2=0,"",UC_DADOS!$B$2)</f>
        <v>7041435180</v>
      </c>
      <c r="B11" s="107"/>
      <c r="C11" s="67"/>
      <c r="D11" s="70"/>
      <c r="E11" s="70"/>
      <c r="F11" s="70"/>
      <c r="G11" s="70"/>
      <c r="H11" s="70"/>
      <c r="I11" s="293">
        <f t="shared" si="0"/>
        <v>0</v>
      </c>
      <c r="J11" s="70"/>
      <c r="K11" s="67"/>
      <c r="L11" s="70"/>
      <c r="M11" s="70"/>
      <c r="N11" s="70"/>
      <c r="O11" s="70"/>
      <c r="P11" s="112"/>
      <c r="Q11" s="70"/>
      <c r="R11" s="70"/>
      <c r="S11" s="70"/>
      <c r="T11" s="70"/>
      <c r="U11" s="70"/>
      <c r="V11" s="70"/>
      <c r="W11" s="70"/>
      <c r="X11" s="70"/>
      <c r="Y11" s="70"/>
      <c r="Z11" s="108"/>
      <c r="AA11" s="67"/>
      <c r="AB11" s="70"/>
      <c r="AC11" s="70"/>
      <c r="AD11" s="71"/>
      <c r="AE11" s="73"/>
      <c r="AF11" s="108"/>
    </row>
    <row r="12" spans="1:32" s="66" customFormat="1" ht="15" customHeight="1" x14ac:dyDescent="0.25">
      <c r="A12" s="102">
        <f>IF(UC_DADOS!$B$2=0,"",UC_DADOS!$B$2)</f>
        <v>7041435180</v>
      </c>
      <c r="B12" s="107"/>
      <c r="C12" s="67"/>
      <c r="D12" s="70"/>
      <c r="E12" s="70"/>
      <c r="F12" s="70"/>
      <c r="G12" s="70"/>
      <c r="H12" s="70"/>
      <c r="I12" s="293">
        <f t="shared" si="0"/>
        <v>0</v>
      </c>
      <c r="J12" s="70"/>
      <c r="K12" s="67"/>
      <c r="L12" s="70"/>
      <c r="M12" s="70"/>
      <c r="N12" s="70"/>
      <c r="O12" s="70"/>
      <c r="P12" s="112"/>
      <c r="Q12" s="70"/>
      <c r="R12" s="70"/>
      <c r="S12" s="70"/>
      <c r="T12" s="70"/>
      <c r="U12" s="70"/>
      <c r="V12" s="70"/>
      <c r="W12" s="70"/>
      <c r="X12" s="70"/>
      <c r="Y12" s="70"/>
      <c r="Z12" s="108"/>
      <c r="AA12" s="67"/>
      <c r="AB12" s="70"/>
      <c r="AC12" s="70"/>
      <c r="AD12" s="71"/>
      <c r="AE12" s="73"/>
      <c r="AF12" s="108"/>
    </row>
    <row r="13" spans="1:32" s="66" customFormat="1" ht="15" customHeight="1" x14ac:dyDescent="0.25">
      <c r="A13" s="102">
        <f>IF(UC_DADOS!$B$2=0,"",UC_DADOS!$B$2)</f>
        <v>7041435180</v>
      </c>
      <c r="B13" s="107"/>
      <c r="C13" s="67"/>
      <c r="D13" s="70"/>
      <c r="E13" s="70"/>
      <c r="F13" s="70"/>
      <c r="G13" s="70"/>
      <c r="H13" s="70"/>
      <c r="I13" s="293">
        <f t="shared" si="0"/>
        <v>0</v>
      </c>
      <c r="J13" s="70"/>
      <c r="K13" s="67"/>
      <c r="L13" s="70"/>
      <c r="M13" s="70"/>
      <c r="N13" s="70"/>
      <c r="O13" s="70"/>
      <c r="P13" s="112"/>
      <c r="Q13" s="70"/>
      <c r="R13" s="70"/>
      <c r="S13" s="70"/>
      <c r="T13" s="70"/>
      <c r="U13" s="70"/>
      <c r="V13" s="70"/>
      <c r="W13" s="70"/>
      <c r="X13" s="70"/>
      <c r="Y13" s="70"/>
      <c r="Z13" s="108"/>
      <c r="AA13" s="67"/>
      <c r="AB13" s="70"/>
      <c r="AC13" s="70"/>
      <c r="AD13" s="71"/>
      <c r="AE13" s="73"/>
      <c r="AF13" s="108"/>
    </row>
    <row r="14" spans="1:32" s="66" customFormat="1" ht="15" customHeight="1" x14ac:dyDescent="0.25">
      <c r="A14" s="102">
        <f>IF(UC_DADOS!$B$2=0,"",UC_DADOS!$B$2)</f>
        <v>7041435180</v>
      </c>
      <c r="B14" s="107"/>
      <c r="C14" s="67"/>
      <c r="D14" s="70"/>
      <c r="E14" s="70"/>
      <c r="F14" s="70"/>
      <c r="G14" s="70"/>
      <c r="H14" s="70"/>
      <c r="I14" s="293">
        <f t="shared" si="0"/>
        <v>0</v>
      </c>
      <c r="J14" s="70"/>
      <c r="K14" s="67"/>
      <c r="L14" s="70"/>
      <c r="M14" s="70"/>
      <c r="N14" s="70"/>
      <c r="O14" s="70"/>
      <c r="P14" s="112"/>
      <c r="Q14" s="70"/>
      <c r="R14" s="70"/>
      <c r="S14" s="70"/>
      <c r="T14" s="70"/>
      <c r="U14" s="70"/>
      <c r="V14" s="70"/>
      <c r="W14" s="70"/>
      <c r="X14" s="70"/>
      <c r="Y14" s="70"/>
      <c r="Z14" s="108"/>
      <c r="AA14" s="67"/>
      <c r="AB14" s="70"/>
      <c r="AC14" s="70"/>
      <c r="AD14" s="71"/>
      <c r="AE14" s="73"/>
      <c r="AF14" s="108"/>
    </row>
    <row r="15" spans="1:32" s="66" customFormat="1" ht="15" customHeight="1" x14ac:dyDescent="0.25">
      <c r="A15" s="102">
        <f>IF(UC_DADOS!$B$2=0,"",UC_DADOS!$B$2)</f>
        <v>7041435180</v>
      </c>
      <c r="B15" s="107"/>
      <c r="C15" s="67"/>
      <c r="D15" s="70"/>
      <c r="E15" s="70"/>
      <c r="F15" s="70"/>
      <c r="G15" s="70"/>
      <c r="H15" s="70"/>
      <c r="I15" s="293">
        <f t="shared" si="0"/>
        <v>0</v>
      </c>
      <c r="J15" s="70"/>
      <c r="K15" s="67"/>
      <c r="L15" s="70"/>
      <c r="M15" s="70"/>
      <c r="N15" s="70"/>
      <c r="O15" s="70"/>
      <c r="P15" s="112"/>
      <c r="Q15" s="70"/>
      <c r="R15" s="70"/>
      <c r="S15" s="70"/>
      <c r="T15" s="70"/>
      <c r="U15" s="70"/>
      <c r="V15" s="70"/>
      <c r="W15" s="70"/>
      <c r="X15" s="70"/>
      <c r="Y15" s="70"/>
      <c r="Z15" s="108"/>
      <c r="AA15" s="67"/>
      <c r="AB15" s="70"/>
      <c r="AC15" s="70"/>
      <c r="AD15" s="71"/>
      <c r="AE15" s="73"/>
      <c r="AF15" s="108"/>
    </row>
    <row r="16" spans="1:32" s="66" customFormat="1" ht="15" customHeight="1" x14ac:dyDescent="0.25">
      <c r="A16" s="102">
        <f>IF(UC_DADOS!$B$2=0,"",UC_DADOS!$B$2)</f>
        <v>7041435180</v>
      </c>
      <c r="B16" s="107"/>
      <c r="C16" s="67"/>
      <c r="D16" s="70"/>
      <c r="E16" s="70"/>
      <c r="F16" s="70"/>
      <c r="G16" s="70"/>
      <c r="H16" s="70"/>
      <c r="I16" s="293">
        <f t="shared" si="0"/>
        <v>0</v>
      </c>
      <c r="J16" s="70"/>
      <c r="K16" s="67"/>
      <c r="L16" s="70"/>
      <c r="M16" s="70"/>
      <c r="N16" s="70"/>
      <c r="O16" s="70"/>
      <c r="P16" s="112"/>
      <c r="Q16" s="70"/>
      <c r="R16" s="70"/>
      <c r="S16" s="70"/>
      <c r="T16" s="70"/>
      <c r="U16" s="70"/>
      <c r="V16" s="70"/>
      <c r="W16" s="70"/>
      <c r="X16" s="70"/>
      <c r="Y16" s="70"/>
      <c r="Z16" s="108"/>
      <c r="AA16" s="67"/>
      <c r="AB16" s="70"/>
      <c r="AC16" s="70"/>
      <c r="AD16" s="71"/>
      <c r="AE16" s="73"/>
      <c r="AF16" s="108"/>
    </row>
    <row r="17" spans="1:32" s="66" customFormat="1" ht="15" customHeight="1" x14ac:dyDescent="0.25">
      <c r="A17" s="102">
        <f>IF(UC_DADOS!$B$2=0,"",UC_DADOS!$B$2)</f>
        <v>7041435180</v>
      </c>
      <c r="B17" s="107"/>
      <c r="C17" s="67"/>
      <c r="D17" s="70"/>
      <c r="E17" s="70"/>
      <c r="F17" s="70"/>
      <c r="G17" s="70"/>
      <c r="H17" s="70"/>
      <c r="I17" s="293">
        <f t="shared" si="0"/>
        <v>0</v>
      </c>
      <c r="J17" s="70"/>
      <c r="K17" s="67"/>
      <c r="L17" s="70"/>
      <c r="M17" s="70"/>
      <c r="N17" s="70"/>
      <c r="O17" s="70"/>
      <c r="P17" s="112"/>
      <c r="Q17" s="70"/>
      <c r="R17" s="70"/>
      <c r="S17" s="70"/>
      <c r="T17" s="70"/>
      <c r="U17" s="70"/>
      <c r="V17" s="70"/>
      <c r="W17" s="70"/>
      <c r="X17" s="70"/>
      <c r="Y17" s="70"/>
      <c r="Z17" s="108"/>
      <c r="AA17" s="67"/>
      <c r="AB17" s="70"/>
      <c r="AC17" s="70"/>
      <c r="AD17" s="71"/>
      <c r="AE17" s="73"/>
      <c r="AF17" s="108"/>
    </row>
    <row r="18" spans="1:32" s="66" customFormat="1" ht="15" customHeight="1" x14ac:dyDescent="0.25">
      <c r="A18" s="102">
        <f>IF(UC_DADOS!$B$2=0,"",UC_DADOS!$B$2)</f>
        <v>7041435180</v>
      </c>
      <c r="B18" s="107"/>
      <c r="C18" s="67"/>
      <c r="D18" s="70"/>
      <c r="E18" s="70"/>
      <c r="F18" s="70"/>
      <c r="G18" s="70"/>
      <c r="H18" s="70"/>
      <c r="I18" s="293">
        <f t="shared" si="0"/>
        <v>0</v>
      </c>
      <c r="J18" s="70"/>
      <c r="K18" s="67"/>
      <c r="L18" s="70"/>
      <c r="M18" s="70"/>
      <c r="N18" s="70"/>
      <c r="O18" s="70"/>
      <c r="P18" s="112"/>
      <c r="Q18" s="70"/>
      <c r="R18" s="70"/>
      <c r="S18" s="70"/>
      <c r="T18" s="70"/>
      <c r="U18" s="70"/>
      <c r="V18" s="70"/>
      <c r="W18" s="70"/>
      <c r="X18" s="70"/>
      <c r="Y18" s="70"/>
      <c r="Z18" s="108"/>
      <c r="AA18" s="67"/>
      <c r="AB18" s="70"/>
      <c r="AC18" s="70"/>
      <c r="AD18" s="71"/>
      <c r="AE18" s="73"/>
      <c r="AF18" s="108"/>
    </row>
    <row r="19" spans="1:32" s="66" customFormat="1" ht="15" customHeight="1" x14ac:dyDescent="0.25">
      <c r="A19" s="102">
        <f>IF(UC_DADOS!$B$2=0,"",UC_DADOS!$B$2)</f>
        <v>7041435180</v>
      </c>
      <c r="B19" s="107"/>
      <c r="C19" s="67"/>
      <c r="D19" s="70"/>
      <c r="E19" s="70"/>
      <c r="F19" s="70"/>
      <c r="G19" s="70"/>
      <c r="H19" s="70"/>
      <c r="I19" s="293">
        <f t="shared" si="0"/>
        <v>0</v>
      </c>
      <c r="J19" s="70"/>
      <c r="K19" s="67"/>
      <c r="L19" s="70"/>
      <c r="M19" s="70"/>
      <c r="N19" s="70"/>
      <c r="O19" s="70"/>
      <c r="P19" s="112"/>
      <c r="Q19" s="70"/>
      <c r="R19" s="70"/>
      <c r="S19" s="70"/>
      <c r="T19" s="70"/>
      <c r="U19" s="70"/>
      <c r="V19" s="70"/>
      <c r="W19" s="70"/>
      <c r="X19" s="70"/>
      <c r="Y19" s="70"/>
      <c r="Z19" s="108"/>
      <c r="AA19" s="67"/>
      <c r="AB19" s="70"/>
      <c r="AC19" s="70"/>
      <c r="AD19" s="71"/>
      <c r="AE19" s="73"/>
      <c r="AF19" s="108"/>
    </row>
    <row r="20" spans="1:32" s="66" customFormat="1" ht="15" customHeight="1" x14ac:dyDescent="0.25">
      <c r="A20" s="102">
        <f>IF(UC_DADOS!$B$2=0,"",UC_DADOS!$B$2)</f>
        <v>7041435180</v>
      </c>
      <c r="B20" s="107"/>
      <c r="C20" s="67"/>
      <c r="D20" s="70"/>
      <c r="E20" s="70"/>
      <c r="F20" s="70"/>
      <c r="G20" s="70"/>
      <c r="H20" s="70"/>
      <c r="I20" s="293">
        <f t="shared" si="0"/>
        <v>0</v>
      </c>
      <c r="J20" s="70"/>
      <c r="K20" s="67"/>
      <c r="L20" s="70"/>
      <c r="M20" s="70"/>
      <c r="N20" s="70"/>
      <c r="O20" s="70"/>
      <c r="P20" s="112"/>
      <c r="Q20" s="70"/>
      <c r="R20" s="70"/>
      <c r="S20" s="70"/>
      <c r="T20" s="70"/>
      <c r="U20" s="70"/>
      <c r="V20" s="70"/>
      <c r="W20" s="70"/>
      <c r="X20" s="70"/>
      <c r="Y20" s="70"/>
      <c r="Z20" s="108"/>
      <c r="AA20" s="67"/>
      <c r="AB20" s="70"/>
      <c r="AC20" s="70"/>
      <c r="AD20" s="71"/>
      <c r="AE20" s="73"/>
      <c r="AF20" s="108"/>
    </row>
    <row r="21" spans="1:32" s="66" customFormat="1" ht="15" customHeight="1" x14ac:dyDescent="0.25">
      <c r="A21" s="102">
        <f>IF(UC_DADOS!$B$2=0,"",UC_DADOS!$B$2)</f>
        <v>7041435180</v>
      </c>
      <c r="B21" s="107"/>
      <c r="C21" s="67"/>
      <c r="D21" s="70"/>
      <c r="E21" s="70"/>
      <c r="F21" s="70"/>
      <c r="G21" s="70"/>
      <c r="H21" s="70"/>
      <c r="I21" s="293">
        <f t="shared" si="0"/>
        <v>0</v>
      </c>
      <c r="J21" s="70"/>
      <c r="K21" s="67"/>
      <c r="L21" s="70"/>
      <c r="M21" s="70"/>
      <c r="N21" s="70"/>
      <c r="O21" s="70"/>
      <c r="P21" s="112"/>
      <c r="Q21" s="70"/>
      <c r="R21" s="70"/>
      <c r="S21" s="70"/>
      <c r="T21" s="70"/>
      <c r="U21" s="70"/>
      <c r="V21" s="70"/>
      <c r="W21" s="70"/>
      <c r="X21" s="70"/>
      <c r="Y21" s="70"/>
      <c r="Z21" s="108"/>
      <c r="AA21" s="67"/>
      <c r="AB21" s="70"/>
      <c r="AC21" s="70"/>
      <c r="AD21" s="71"/>
      <c r="AE21" s="73"/>
      <c r="AF21" s="108"/>
    </row>
    <row r="22" spans="1:32" s="66" customFormat="1" ht="15" customHeight="1" x14ac:dyDescent="0.25">
      <c r="A22" s="102">
        <f>IF(UC_DADOS!$B$2=0,"",UC_DADOS!$B$2)</f>
        <v>7041435180</v>
      </c>
      <c r="B22" s="107"/>
      <c r="C22" s="67"/>
      <c r="D22" s="70"/>
      <c r="E22" s="70"/>
      <c r="F22" s="70"/>
      <c r="G22" s="70"/>
      <c r="H22" s="70"/>
      <c r="I22" s="293">
        <f t="shared" si="0"/>
        <v>0</v>
      </c>
      <c r="J22" s="70"/>
      <c r="K22" s="67"/>
      <c r="L22" s="70"/>
      <c r="M22" s="70"/>
      <c r="N22" s="70"/>
      <c r="O22" s="70"/>
      <c r="P22" s="112"/>
      <c r="Q22" s="70"/>
      <c r="R22" s="70"/>
      <c r="S22" s="70"/>
      <c r="T22" s="70"/>
      <c r="U22" s="70"/>
      <c r="V22" s="70"/>
      <c r="W22" s="70"/>
      <c r="X22" s="70"/>
      <c r="Y22" s="70"/>
      <c r="Z22" s="108"/>
      <c r="AA22" s="67"/>
      <c r="AB22" s="70"/>
      <c r="AC22" s="70"/>
      <c r="AD22" s="71"/>
      <c r="AE22" s="73"/>
      <c r="AF22" s="108"/>
    </row>
    <row r="23" spans="1:32" s="66" customFormat="1" ht="15" customHeight="1" x14ac:dyDescent="0.25">
      <c r="A23" s="102">
        <f>IF(UC_DADOS!$B$2=0,"",UC_DADOS!$B$2)</f>
        <v>7041435180</v>
      </c>
      <c r="B23" s="107"/>
      <c r="C23" s="67"/>
      <c r="D23" s="70"/>
      <c r="E23" s="70"/>
      <c r="F23" s="70"/>
      <c r="G23" s="70"/>
      <c r="H23" s="70"/>
      <c r="I23" s="293">
        <f t="shared" si="0"/>
        <v>0</v>
      </c>
      <c r="J23" s="70"/>
      <c r="K23" s="67"/>
      <c r="L23" s="70"/>
      <c r="M23" s="70"/>
      <c r="N23" s="70"/>
      <c r="O23" s="70"/>
      <c r="P23" s="112"/>
      <c r="Q23" s="70"/>
      <c r="R23" s="70"/>
      <c r="S23" s="70"/>
      <c r="T23" s="70"/>
      <c r="U23" s="70"/>
      <c r="V23" s="70"/>
      <c r="W23" s="70"/>
      <c r="X23" s="70"/>
      <c r="Y23" s="70"/>
      <c r="Z23" s="108"/>
      <c r="AA23" s="67"/>
      <c r="AB23" s="70"/>
      <c r="AC23" s="70"/>
      <c r="AD23" s="71"/>
      <c r="AE23" s="73"/>
      <c r="AF23" s="108"/>
    </row>
    <row r="24" spans="1:32" s="66" customFormat="1" ht="15" customHeight="1" x14ac:dyDescent="0.25">
      <c r="A24" s="102">
        <f>IF(UC_DADOS!$B$2=0,"",UC_DADOS!$B$2)</f>
        <v>7041435180</v>
      </c>
      <c r="B24" s="107"/>
      <c r="C24" s="67"/>
      <c r="D24" s="70"/>
      <c r="E24" s="70"/>
      <c r="F24" s="70"/>
      <c r="G24" s="70"/>
      <c r="H24" s="70"/>
      <c r="I24" s="293">
        <f t="shared" si="0"/>
        <v>0</v>
      </c>
      <c r="J24" s="70"/>
      <c r="K24" s="67"/>
      <c r="L24" s="70"/>
      <c r="M24" s="70"/>
      <c r="N24" s="70"/>
      <c r="O24" s="70"/>
      <c r="P24" s="112"/>
      <c r="Q24" s="70"/>
      <c r="R24" s="70"/>
      <c r="S24" s="70"/>
      <c r="T24" s="70"/>
      <c r="U24" s="70"/>
      <c r="V24" s="70"/>
      <c r="W24" s="70"/>
      <c r="X24" s="70"/>
      <c r="Y24" s="70"/>
      <c r="Z24" s="108"/>
      <c r="AA24" s="67"/>
      <c r="AB24" s="70"/>
      <c r="AC24" s="70"/>
      <c r="AD24" s="71"/>
      <c r="AE24" s="73"/>
      <c r="AF24" s="108"/>
    </row>
    <row r="25" spans="1:32" s="66" customFormat="1" ht="15" customHeight="1" x14ac:dyDescent="0.25">
      <c r="A25" s="102">
        <f>IF(UC_DADOS!$B$2=0,"",UC_DADOS!$B$2)</f>
        <v>7041435180</v>
      </c>
      <c r="B25" s="107"/>
      <c r="C25" s="67"/>
      <c r="D25" s="70"/>
      <c r="E25" s="70"/>
      <c r="F25" s="70"/>
      <c r="G25" s="70"/>
      <c r="H25" s="70"/>
      <c r="I25" s="293">
        <f t="shared" si="0"/>
        <v>0</v>
      </c>
      <c r="J25" s="70"/>
      <c r="K25" s="67"/>
      <c r="L25" s="70"/>
      <c r="M25" s="70"/>
      <c r="N25" s="70"/>
      <c r="O25" s="70"/>
      <c r="P25" s="112"/>
      <c r="Q25" s="70"/>
      <c r="R25" s="70"/>
      <c r="S25" s="70"/>
      <c r="T25" s="70"/>
      <c r="U25" s="70"/>
      <c r="V25" s="70"/>
      <c r="W25" s="70"/>
      <c r="X25" s="70"/>
      <c r="Y25" s="70"/>
      <c r="Z25" s="108"/>
      <c r="AA25" s="67"/>
      <c r="AB25" s="70"/>
      <c r="AC25" s="70"/>
      <c r="AD25" s="71"/>
      <c r="AE25" s="73"/>
      <c r="AF25" s="108"/>
    </row>
    <row r="26" spans="1:32" s="66" customFormat="1" ht="15" customHeight="1" x14ac:dyDescent="0.25">
      <c r="A26" s="102">
        <f>IF(UC_DADOS!$B$2=0,"",UC_DADOS!$B$2)</f>
        <v>7041435180</v>
      </c>
      <c r="B26" s="107"/>
      <c r="C26" s="67"/>
      <c r="D26" s="70"/>
      <c r="E26" s="70"/>
      <c r="F26" s="70"/>
      <c r="G26" s="70"/>
      <c r="H26" s="70"/>
      <c r="I26" s="293">
        <f t="shared" si="0"/>
        <v>0</v>
      </c>
      <c r="J26" s="70"/>
      <c r="K26" s="67"/>
      <c r="L26" s="70"/>
      <c r="M26" s="70"/>
      <c r="N26" s="70"/>
      <c r="O26" s="70"/>
      <c r="P26" s="112"/>
      <c r="Q26" s="70"/>
      <c r="R26" s="70"/>
      <c r="S26" s="70"/>
      <c r="T26" s="70"/>
      <c r="U26" s="70"/>
      <c r="V26" s="70"/>
      <c r="W26" s="70"/>
      <c r="X26" s="70"/>
      <c r="Y26" s="70"/>
      <c r="Z26" s="108"/>
      <c r="AA26" s="67"/>
      <c r="AB26" s="70"/>
      <c r="AC26" s="70"/>
      <c r="AD26" s="71"/>
      <c r="AE26" s="73"/>
      <c r="AF26" s="108"/>
    </row>
    <row r="27" spans="1:32" s="66" customFormat="1" ht="15" customHeight="1" x14ac:dyDescent="0.25">
      <c r="A27" s="102">
        <f>IF(UC_DADOS!$B$2=0,"",UC_DADOS!$B$2)</f>
        <v>7041435180</v>
      </c>
      <c r="B27" s="107"/>
      <c r="C27" s="67"/>
      <c r="D27" s="70"/>
      <c r="E27" s="70"/>
      <c r="F27" s="70"/>
      <c r="G27" s="70"/>
      <c r="H27" s="70"/>
      <c r="I27" s="293">
        <f t="shared" si="0"/>
        <v>0</v>
      </c>
      <c r="J27" s="70"/>
      <c r="K27" s="67"/>
      <c r="L27" s="70"/>
      <c r="M27" s="70"/>
      <c r="N27" s="70"/>
      <c r="O27" s="70"/>
      <c r="P27" s="112"/>
      <c r="Q27" s="70"/>
      <c r="R27" s="70"/>
      <c r="S27" s="70"/>
      <c r="T27" s="70"/>
      <c r="U27" s="70"/>
      <c r="V27" s="70"/>
      <c r="W27" s="70"/>
      <c r="X27" s="70"/>
      <c r="Y27" s="70"/>
      <c r="Z27" s="108"/>
      <c r="AA27" s="67"/>
      <c r="AB27" s="70"/>
      <c r="AC27" s="70"/>
      <c r="AD27" s="71"/>
      <c r="AE27" s="73"/>
      <c r="AF27" s="108"/>
    </row>
    <row r="28" spans="1:32" s="66" customFormat="1" ht="15" customHeight="1" x14ac:dyDescent="0.25">
      <c r="A28" s="102">
        <f>IF(UC_DADOS!$B$2=0,"",UC_DADOS!$B$2)</f>
        <v>7041435180</v>
      </c>
      <c r="B28" s="107"/>
      <c r="C28" s="67"/>
      <c r="D28" s="70"/>
      <c r="E28" s="70"/>
      <c r="F28" s="70"/>
      <c r="G28" s="70"/>
      <c r="H28" s="70"/>
      <c r="I28" s="293">
        <f t="shared" si="0"/>
        <v>0</v>
      </c>
      <c r="J28" s="70"/>
      <c r="K28" s="67"/>
      <c r="L28" s="70"/>
      <c r="M28" s="70"/>
      <c r="N28" s="70"/>
      <c r="O28" s="70"/>
      <c r="P28" s="112"/>
      <c r="Q28" s="70"/>
      <c r="R28" s="70"/>
      <c r="S28" s="70"/>
      <c r="T28" s="70"/>
      <c r="U28" s="70"/>
      <c r="V28" s="70"/>
      <c r="W28" s="70"/>
      <c r="X28" s="70"/>
      <c r="Y28" s="70"/>
      <c r="Z28" s="108"/>
      <c r="AA28" s="67"/>
      <c r="AB28" s="70"/>
      <c r="AC28" s="70"/>
      <c r="AD28" s="71"/>
      <c r="AE28" s="73"/>
      <c r="AF28" s="108"/>
    </row>
    <row r="29" spans="1:32" s="66" customFormat="1" ht="15" customHeight="1" x14ac:dyDescent="0.25">
      <c r="A29" s="102">
        <f>IF(UC_DADOS!$B$2=0,"",UC_DADOS!$B$2)</f>
        <v>7041435180</v>
      </c>
      <c r="B29" s="107"/>
      <c r="C29" s="67"/>
      <c r="D29" s="70"/>
      <c r="E29" s="70"/>
      <c r="F29" s="70"/>
      <c r="G29" s="70"/>
      <c r="H29" s="70"/>
      <c r="I29" s="293">
        <f t="shared" si="0"/>
        <v>0</v>
      </c>
      <c r="J29" s="70"/>
      <c r="K29" s="67"/>
      <c r="L29" s="70"/>
      <c r="M29" s="70"/>
      <c r="N29" s="70"/>
      <c r="O29" s="70"/>
      <c r="P29" s="112"/>
      <c r="Q29" s="70"/>
      <c r="R29" s="70"/>
      <c r="S29" s="70"/>
      <c r="T29" s="70"/>
      <c r="U29" s="70"/>
      <c r="V29" s="70"/>
      <c r="W29" s="70"/>
      <c r="X29" s="70"/>
      <c r="Y29" s="70"/>
      <c r="Z29" s="108"/>
      <c r="AA29" s="67"/>
      <c r="AB29" s="70"/>
      <c r="AC29" s="70"/>
      <c r="AD29" s="71"/>
      <c r="AE29" s="73"/>
      <c r="AF29" s="108"/>
    </row>
    <row r="30" spans="1:32" s="66" customFormat="1" ht="15" customHeight="1" x14ac:dyDescent="0.25">
      <c r="A30" s="102">
        <f>IF(UC_DADOS!$B$2=0,"",UC_DADOS!$B$2)</f>
        <v>7041435180</v>
      </c>
      <c r="B30" s="107"/>
      <c r="C30" s="67"/>
      <c r="D30" s="70"/>
      <c r="E30" s="70"/>
      <c r="F30" s="70"/>
      <c r="G30" s="70"/>
      <c r="H30" s="70"/>
      <c r="I30" s="293">
        <f t="shared" si="0"/>
        <v>0</v>
      </c>
      <c r="J30" s="70"/>
      <c r="K30" s="67"/>
      <c r="L30" s="70"/>
      <c r="M30" s="70"/>
      <c r="N30" s="70"/>
      <c r="O30" s="70"/>
      <c r="P30" s="112"/>
      <c r="Q30" s="70"/>
      <c r="R30" s="70"/>
      <c r="S30" s="70"/>
      <c r="T30" s="70"/>
      <c r="U30" s="70"/>
      <c r="V30" s="70"/>
      <c r="W30" s="70"/>
      <c r="X30" s="70"/>
      <c r="Y30" s="70"/>
      <c r="Z30" s="108"/>
      <c r="AA30" s="67"/>
      <c r="AB30" s="70"/>
      <c r="AC30" s="70"/>
      <c r="AD30" s="71"/>
      <c r="AE30" s="73"/>
      <c r="AF30" s="108"/>
    </row>
    <row r="31" spans="1:32" s="66" customFormat="1" ht="15" customHeight="1" x14ac:dyDescent="0.25">
      <c r="A31" s="102">
        <f>IF(UC_DADOS!$B$2=0,"",UC_DADOS!$B$2)</f>
        <v>7041435180</v>
      </c>
      <c r="B31" s="107"/>
      <c r="C31" s="67"/>
      <c r="D31" s="70"/>
      <c r="E31" s="70"/>
      <c r="F31" s="70"/>
      <c r="G31" s="70"/>
      <c r="H31" s="70"/>
      <c r="I31" s="293">
        <f t="shared" si="0"/>
        <v>0</v>
      </c>
      <c r="J31" s="70"/>
      <c r="K31" s="67"/>
      <c r="L31" s="70"/>
      <c r="M31" s="70"/>
      <c r="N31" s="70"/>
      <c r="O31" s="70"/>
      <c r="P31" s="112"/>
      <c r="Q31" s="70"/>
      <c r="R31" s="70"/>
      <c r="S31" s="70"/>
      <c r="T31" s="70"/>
      <c r="U31" s="70"/>
      <c r="V31" s="70"/>
      <c r="W31" s="70"/>
      <c r="X31" s="70"/>
      <c r="Y31" s="70"/>
      <c r="Z31" s="108"/>
      <c r="AA31" s="67"/>
      <c r="AB31" s="70"/>
      <c r="AC31" s="70"/>
      <c r="AD31" s="71"/>
      <c r="AE31" s="73"/>
      <c r="AF31" s="108"/>
    </row>
    <row r="32" spans="1:32" s="66" customFormat="1" ht="15" customHeight="1" x14ac:dyDescent="0.25">
      <c r="A32" s="102">
        <f>IF(UC_DADOS!$B$2=0,"",UC_DADOS!$B$2)</f>
        <v>7041435180</v>
      </c>
      <c r="B32" s="107"/>
      <c r="C32" s="67"/>
      <c r="D32" s="70"/>
      <c r="E32" s="70"/>
      <c r="F32" s="70"/>
      <c r="G32" s="70"/>
      <c r="H32" s="70"/>
      <c r="I32" s="293">
        <f t="shared" si="0"/>
        <v>0</v>
      </c>
      <c r="J32" s="70"/>
      <c r="K32" s="67"/>
      <c r="L32" s="70"/>
      <c r="M32" s="70"/>
      <c r="N32" s="70"/>
      <c r="O32" s="70"/>
      <c r="P32" s="112"/>
      <c r="Q32" s="70"/>
      <c r="R32" s="70"/>
      <c r="S32" s="70"/>
      <c r="T32" s="70"/>
      <c r="U32" s="70"/>
      <c r="V32" s="70"/>
      <c r="W32" s="70"/>
      <c r="X32" s="70"/>
      <c r="Y32" s="70"/>
      <c r="Z32" s="108"/>
      <c r="AA32" s="67"/>
      <c r="AB32" s="70"/>
      <c r="AC32" s="70"/>
      <c r="AD32" s="71"/>
      <c r="AE32" s="73"/>
      <c r="AF32" s="108"/>
    </row>
    <row r="33" spans="1:32" s="66" customFormat="1" ht="15" customHeight="1" x14ac:dyDescent="0.25">
      <c r="A33" s="102">
        <f>IF(UC_DADOS!$B$2=0,"",UC_DADOS!$B$2)</f>
        <v>7041435180</v>
      </c>
      <c r="B33" s="107"/>
      <c r="C33" s="67"/>
      <c r="D33" s="70"/>
      <c r="E33" s="70"/>
      <c r="F33" s="70"/>
      <c r="G33" s="70"/>
      <c r="H33" s="70"/>
      <c r="I33" s="293">
        <f t="shared" si="0"/>
        <v>0</v>
      </c>
      <c r="J33" s="70"/>
      <c r="K33" s="67"/>
      <c r="L33" s="70"/>
      <c r="M33" s="70"/>
      <c r="N33" s="70"/>
      <c r="O33" s="70"/>
      <c r="P33" s="112"/>
      <c r="Q33" s="70"/>
      <c r="R33" s="70"/>
      <c r="S33" s="70"/>
      <c r="T33" s="70"/>
      <c r="U33" s="70"/>
      <c r="V33" s="70"/>
      <c r="W33" s="70"/>
      <c r="X33" s="70"/>
      <c r="Y33" s="70"/>
      <c r="Z33" s="108"/>
      <c r="AA33" s="67"/>
      <c r="AB33" s="70"/>
      <c r="AC33" s="70"/>
      <c r="AD33" s="71"/>
      <c r="AE33" s="73"/>
      <c r="AF33" s="108"/>
    </row>
    <row r="34" spans="1:32" s="66" customFormat="1" ht="15" customHeight="1" x14ac:dyDescent="0.25">
      <c r="A34" s="102">
        <f>IF(UC_DADOS!$B$2=0,"",UC_DADOS!$B$2)</f>
        <v>7041435180</v>
      </c>
      <c r="B34" s="107"/>
      <c r="C34" s="67"/>
      <c r="D34" s="70"/>
      <c r="E34" s="70"/>
      <c r="F34" s="70"/>
      <c r="G34" s="70"/>
      <c r="H34" s="70"/>
      <c r="I34" s="293">
        <f t="shared" si="0"/>
        <v>0</v>
      </c>
      <c r="J34" s="70"/>
      <c r="K34" s="67"/>
      <c r="L34" s="70"/>
      <c r="M34" s="70"/>
      <c r="N34" s="70"/>
      <c r="O34" s="70"/>
      <c r="P34" s="112"/>
      <c r="Q34" s="70"/>
      <c r="R34" s="70"/>
      <c r="S34" s="70"/>
      <c r="T34" s="70"/>
      <c r="U34" s="70"/>
      <c r="V34" s="70"/>
      <c r="W34" s="70"/>
      <c r="X34" s="70"/>
      <c r="Y34" s="70"/>
      <c r="Z34" s="108"/>
      <c r="AA34" s="67"/>
      <c r="AB34" s="70"/>
      <c r="AC34" s="70"/>
      <c r="AD34" s="71"/>
      <c r="AE34" s="73"/>
      <c r="AF34" s="108"/>
    </row>
    <row r="35" spans="1:32" s="66" customFormat="1" ht="15" customHeight="1" x14ac:dyDescent="0.25">
      <c r="A35" s="102">
        <f>IF(UC_DADOS!$B$2=0,"",UC_DADOS!$B$2)</f>
        <v>7041435180</v>
      </c>
      <c r="B35" s="107"/>
      <c r="C35" s="67"/>
      <c r="D35" s="70"/>
      <c r="E35" s="70"/>
      <c r="F35" s="70"/>
      <c r="G35" s="70"/>
      <c r="H35" s="70"/>
      <c r="I35" s="293">
        <f t="shared" si="0"/>
        <v>0</v>
      </c>
      <c r="J35" s="70"/>
      <c r="K35" s="67"/>
      <c r="L35" s="70"/>
      <c r="M35" s="70"/>
      <c r="N35" s="70"/>
      <c r="O35" s="70"/>
      <c r="P35" s="112"/>
      <c r="Q35" s="70"/>
      <c r="R35" s="70"/>
      <c r="S35" s="70"/>
      <c r="T35" s="70"/>
      <c r="U35" s="70"/>
      <c r="V35" s="70"/>
      <c r="W35" s="70"/>
      <c r="X35" s="70"/>
      <c r="Y35" s="70"/>
      <c r="Z35" s="108"/>
      <c r="AA35" s="67"/>
      <c r="AB35" s="70"/>
      <c r="AC35" s="70"/>
      <c r="AD35" s="71"/>
      <c r="AE35" s="73"/>
      <c r="AF35" s="108"/>
    </row>
    <row r="36" spans="1:32" s="66" customFormat="1" ht="15" customHeight="1" x14ac:dyDescent="0.25">
      <c r="A36" s="102">
        <f>IF(UC_DADOS!$B$2=0,"",UC_DADOS!$B$2)</f>
        <v>7041435180</v>
      </c>
      <c r="B36" s="107"/>
      <c r="C36" s="67"/>
      <c r="D36" s="70"/>
      <c r="E36" s="70"/>
      <c r="F36" s="70"/>
      <c r="G36" s="70"/>
      <c r="H36" s="70"/>
      <c r="I36" s="293">
        <f t="shared" si="0"/>
        <v>0</v>
      </c>
      <c r="J36" s="70"/>
      <c r="K36" s="67"/>
      <c r="L36" s="70"/>
      <c r="M36" s="70"/>
      <c r="N36" s="70"/>
      <c r="O36" s="70"/>
      <c r="P36" s="112"/>
      <c r="Q36" s="70"/>
      <c r="R36" s="70"/>
      <c r="S36" s="70"/>
      <c r="T36" s="70"/>
      <c r="U36" s="70"/>
      <c r="V36" s="70"/>
      <c r="W36" s="70"/>
      <c r="X36" s="70"/>
      <c r="Y36" s="70"/>
      <c r="Z36" s="108"/>
      <c r="AA36" s="67"/>
      <c r="AB36" s="70"/>
      <c r="AC36" s="70"/>
      <c r="AD36" s="71"/>
      <c r="AE36" s="73"/>
      <c r="AF36" s="108"/>
    </row>
    <row r="37" spans="1:32" s="66" customFormat="1" ht="15" customHeight="1" x14ac:dyDescent="0.25">
      <c r="A37" s="102">
        <f>IF(UC_DADOS!$B$2=0,"",UC_DADOS!$B$2)</f>
        <v>7041435180</v>
      </c>
      <c r="B37" s="107"/>
      <c r="C37" s="67"/>
      <c r="D37" s="70"/>
      <c r="E37" s="70"/>
      <c r="F37" s="70"/>
      <c r="G37" s="70"/>
      <c r="H37" s="70"/>
      <c r="I37" s="293">
        <f t="shared" si="0"/>
        <v>0</v>
      </c>
      <c r="J37" s="70"/>
      <c r="K37" s="67"/>
      <c r="L37" s="70"/>
      <c r="M37" s="70"/>
      <c r="N37" s="70"/>
      <c r="O37" s="70"/>
      <c r="P37" s="112"/>
      <c r="Q37" s="70"/>
      <c r="R37" s="70"/>
      <c r="S37" s="70"/>
      <c r="T37" s="70"/>
      <c r="U37" s="70"/>
      <c r="V37" s="70"/>
      <c r="W37" s="70"/>
      <c r="X37" s="70"/>
      <c r="Y37" s="70"/>
      <c r="Z37" s="108"/>
      <c r="AA37" s="67"/>
      <c r="AB37" s="70"/>
      <c r="AC37" s="70"/>
      <c r="AD37" s="71"/>
      <c r="AE37" s="73"/>
      <c r="AF37" s="108"/>
    </row>
    <row r="38" spans="1:32" s="66" customFormat="1" ht="15" customHeight="1" x14ac:dyDescent="0.25">
      <c r="A38" s="102">
        <f>IF(UC_DADOS!$B$2=0,"",UC_DADOS!$B$2)</f>
        <v>7041435180</v>
      </c>
      <c r="B38" s="107"/>
      <c r="C38" s="67"/>
      <c r="D38" s="70"/>
      <c r="E38" s="70"/>
      <c r="F38" s="70"/>
      <c r="G38" s="70"/>
      <c r="H38" s="70"/>
      <c r="I38" s="293">
        <f t="shared" si="0"/>
        <v>0</v>
      </c>
      <c r="J38" s="70"/>
      <c r="K38" s="67"/>
      <c r="L38" s="70"/>
      <c r="M38" s="70"/>
      <c r="N38" s="70"/>
      <c r="O38" s="70"/>
      <c r="P38" s="112"/>
      <c r="Q38" s="70"/>
      <c r="R38" s="70"/>
      <c r="S38" s="70"/>
      <c r="T38" s="70"/>
      <c r="U38" s="70"/>
      <c r="V38" s="70"/>
      <c r="W38" s="70"/>
      <c r="X38" s="70"/>
      <c r="Y38" s="70"/>
      <c r="Z38" s="108"/>
      <c r="AA38" s="67"/>
      <c r="AB38" s="70"/>
      <c r="AC38" s="70"/>
      <c r="AD38" s="71"/>
      <c r="AE38" s="73"/>
      <c r="AF38" s="108"/>
    </row>
    <row r="39" spans="1:32" s="66" customFormat="1" ht="15" customHeight="1" x14ac:dyDescent="0.25">
      <c r="A39" s="102">
        <f>IF(UC_DADOS!$B$2=0,"",UC_DADOS!$B$2)</f>
        <v>7041435180</v>
      </c>
      <c r="B39" s="107"/>
      <c r="C39" s="67"/>
      <c r="D39" s="70"/>
      <c r="E39" s="70"/>
      <c r="F39" s="70"/>
      <c r="G39" s="70"/>
      <c r="H39" s="70"/>
      <c r="I39" s="293">
        <f t="shared" si="0"/>
        <v>0</v>
      </c>
      <c r="J39" s="70"/>
      <c r="K39" s="67"/>
      <c r="L39" s="70"/>
      <c r="M39" s="70"/>
      <c r="N39" s="70"/>
      <c r="O39" s="70"/>
      <c r="P39" s="112"/>
      <c r="Q39" s="70"/>
      <c r="R39" s="70"/>
      <c r="S39" s="70"/>
      <c r="T39" s="70"/>
      <c r="U39" s="70"/>
      <c r="V39" s="70"/>
      <c r="W39" s="70"/>
      <c r="X39" s="70"/>
      <c r="Y39" s="70"/>
      <c r="Z39" s="108"/>
      <c r="AA39" s="67"/>
      <c r="AB39" s="70"/>
      <c r="AC39" s="70"/>
      <c r="AD39" s="71"/>
      <c r="AE39" s="73"/>
      <c r="AF39" s="108"/>
    </row>
    <row r="40" spans="1:32" s="66" customFormat="1" ht="15" customHeight="1" x14ac:dyDescent="0.25">
      <c r="A40" s="102">
        <f>IF(UC_DADOS!$B$2=0,"",UC_DADOS!$B$2)</f>
        <v>7041435180</v>
      </c>
      <c r="B40" s="107"/>
      <c r="C40" s="67"/>
      <c r="D40" s="70"/>
      <c r="E40" s="70"/>
      <c r="F40" s="70"/>
      <c r="G40" s="70"/>
      <c r="H40" s="70"/>
      <c r="I40" s="293">
        <f t="shared" si="0"/>
        <v>0</v>
      </c>
      <c r="J40" s="70"/>
      <c r="K40" s="67"/>
      <c r="L40" s="70"/>
      <c r="M40" s="70"/>
      <c r="N40" s="70"/>
      <c r="O40" s="70"/>
      <c r="P40" s="112"/>
      <c r="Q40" s="70"/>
      <c r="R40" s="70"/>
      <c r="S40" s="70"/>
      <c r="T40" s="70"/>
      <c r="U40" s="70"/>
      <c r="V40" s="70"/>
      <c r="W40" s="70"/>
      <c r="X40" s="70"/>
      <c r="Y40" s="70"/>
      <c r="Z40" s="108"/>
      <c r="AA40" s="67"/>
      <c r="AB40" s="70"/>
      <c r="AC40" s="70"/>
      <c r="AD40" s="71"/>
      <c r="AE40" s="73"/>
      <c r="AF40" s="108"/>
    </row>
    <row r="41" spans="1:32" s="66" customFormat="1" ht="15" customHeight="1" x14ac:dyDescent="0.25">
      <c r="A41" s="102">
        <f>IF(UC_DADOS!$B$2=0,"",UC_DADOS!$B$2)</f>
        <v>7041435180</v>
      </c>
      <c r="B41" s="107"/>
      <c r="C41" s="67"/>
      <c r="D41" s="70"/>
      <c r="E41" s="70"/>
      <c r="F41" s="70"/>
      <c r="G41" s="70"/>
      <c r="H41" s="70"/>
      <c r="I41" s="293">
        <f t="shared" si="0"/>
        <v>0</v>
      </c>
      <c r="J41" s="70"/>
      <c r="K41" s="67"/>
      <c r="L41" s="70"/>
      <c r="M41" s="70"/>
      <c r="N41" s="70"/>
      <c r="O41" s="70"/>
      <c r="P41" s="112"/>
      <c r="Q41" s="70"/>
      <c r="R41" s="70"/>
      <c r="S41" s="70"/>
      <c r="T41" s="70"/>
      <c r="U41" s="70"/>
      <c r="V41" s="70"/>
      <c r="W41" s="70"/>
      <c r="X41" s="70"/>
      <c r="Y41" s="70"/>
      <c r="Z41" s="108"/>
      <c r="AA41" s="67"/>
      <c r="AB41" s="70"/>
      <c r="AC41" s="70"/>
      <c r="AD41" s="71"/>
      <c r="AE41" s="73"/>
      <c r="AF41" s="108"/>
    </row>
    <row r="42" spans="1:32" s="66" customFormat="1" ht="15" customHeight="1" x14ac:dyDescent="0.25">
      <c r="A42" s="102">
        <f>IF(UC_DADOS!$B$2=0,"",UC_DADOS!$B$2)</f>
        <v>7041435180</v>
      </c>
      <c r="B42" s="107"/>
      <c r="C42" s="67"/>
      <c r="D42" s="70"/>
      <c r="E42" s="70"/>
      <c r="F42" s="70"/>
      <c r="G42" s="70"/>
      <c r="H42" s="70"/>
      <c r="I42" s="293">
        <f t="shared" si="0"/>
        <v>0</v>
      </c>
      <c r="J42" s="70"/>
      <c r="K42" s="67"/>
      <c r="L42" s="70"/>
      <c r="M42" s="70"/>
      <c r="N42" s="70"/>
      <c r="O42" s="70"/>
      <c r="P42" s="112"/>
      <c r="Q42" s="70"/>
      <c r="R42" s="70"/>
      <c r="S42" s="70"/>
      <c r="T42" s="70"/>
      <c r="U42" s="70"/>
      <c r="V42" s="70"/>
      <c r="W42" s="70"/>
      <c r="X42" s="70"/>
      <c r="Y42" s="70"/>
      <c r="Z42" s="108"/>
      <c r="AA42" s="67"/>
      <c r="AB42" s="70"/>
      <c r="AC42" s="70"/>
      <c r="AD42" s="71"/>
      <c r="AE42" s="73"/>
      <c r="AF42" s="108"/>
    </row>
    <row r="43" spans="1:32" s="66" customFormat="1" ht="15" customHeight="1" x14ac:dyDescent="0.25">
      <c r="A43" s="102">
        <f>IF(UC_DADOS!$B$2=0,"",UC_DADOS!$B$2)</f>
        <v>7041435180</v>
      </c>
      <c r="B43" s="107"/>
      <c r="C43" s="67"/>
      <c r="D43" s="70"/>
      <c r="E43" s="70"/>
      <c r="F43" s="70"/>
      <c r="G43" s="70"/>
      <c r="H43" s="70"/>
      <c r="I43" s="293">
        <f t="shared" si="0"/>
        <v>0</v>
      </c>
      <c r="J43" s="70"/>
      <c r="K43" s="67"/>
      <c r="L43" s="70"/>
      <c r="M43" s="70"/>
      <c r="N43" s="70"/>
      <c r="O43" s="70"/>
      <c r="P43" s="112"/>
      <c r="Q43" s="70"/>
      <c r="R43" s="70"/>
      <c r="S43" s="70"/>
      <c r="T43" s="70"/>
      <c r="U43" s="70"/>
      <c r="V43" s="70"/>
      <c r="W43" s="70"/>
      <c r="X43" s="70"/>
      <c r="Y43" s="70"/>
      <c r="Z43" s="108"/>
      <c r="AA43" s="67"/>
      <c r="AB43" s="70"/>
      <c r="AC43" s="70"/>
      <c r="AD43" s="71"/>
      <c r="AE43" s="73"/>
      <c r="AF43" s="108"/>
    </row>
    <row r="44" spans="1:32" s="66" customFormat="1" ht="15" customHeight="1" x14ac:dyDescent="0.25">
      <c r="A44" s="102">
        <f>IF(UC_DADOS!$B$2=0,"",UC_DADOS!$B$2)</f>
        <v>7041435180</v>
      </c>
      <c r="B44" s="107"/>
      <c r="C44" s="67"/>
      <c r="D44" s="70"/>
      <c r="E44" s="70"/>
      <c r="F44" s="70"/>
      <c r="G44" s="70"/>
      <c r="H44" s="70"/>
      <c r="I44" s="293">
        <f t="shared" si="0"/>
        <v>0</v>
      </c>
      <c r="J44" s="70"/>
      <c r="K44" s="67"/>
      <c r="L44" s="70"/>
      <c r="M44" s="70"/>
      <c r="N44" s="70"/>
      <c r="O44" s="70"/>
      <c r="P44" s="112"/>
      <c r="Q44" s="70"/>
      <c r="R44" s="70"/>
      <c r="S44" s="70"/>
      <c r="T44" s="70"/>
      <c r="U44" s="70"/>
      <c r="V44" s="70"/>
      <c r="W44" s="70"/>
      <c r="X44" s="70"/>
      <c r="Y44" s="70"/>
      <c r="Z44" s="108"/>
      <c r="AA44" s="67"/>
      <c r="AB44" s="70"/>
      <c r="AC44" s="70"/>
      <c r="AD44" s="71"/>
      <c r="AE44" s="73"/>
      <c r="AF44" s="108"/>
    </row>
    <row r="45" spans="1:32" s="66" customFormat="1" ht="15" customHeight="1" x14ac:dyDescent="0.25">
      <c r="A45" s="102">
        <f>IF(UC_DADOS!$B$2=0,"",UC_DADOS!$B$2)</f>
        <v>7041435180</v>
      </c>
      <c r="B45" s="107"/>
      <c r="C45" s="67"/>
      <c r="D45" s="70"/>
      <c r="E45" s="70"/>
      <c r="F45" s="70"/>
      <c r="G45" s="70"/>
      <c r="H45" s="70"/>
      <c r="I45" s="293">
        <f t="shared" si="0"/>
        <v>0</v>
      </c>
      <c r="J45" s="70"/>
      <c r="K45" s="67"/>
      <c r="L45" s="70"/>
      <c r="M45" s="70"/>
      <c r="N45" s="70"/>
      <c r="O45" s="70"/>
      <c r="P45" s="112"/>
      <c r="Q45" s="70"/>
      <c r="R45" s="70"/>
      <c r="S45" s="70"/>
      <c r="T45" s="70"/>
      <c r="U45" s="70"/>
      <c r="V45" s="70"/>
      <c r="W45" s="70"/>
      <c r="X45" s="70"/>
      <c r="Y45" s="70"/>
      <c r="Z45" s="108"/>
      <c r="AA45" s="67"/>
      <c r="AB45" s="70"/>
      <c r="AC45" s="70"/>
      <c r="AD45" s="71"/>
      <c r="AE45" s="73"/>
      <c r="AF45" s="108"/>
    </row>
    <row r="46" spans="1:32" s="66" customFormat="1" ht="15" customHeight="1" x14ac:dyDescent="0.25">
      <c r="A46" s="102">
        <f>IF(UC_DADOS!$B$2=0,"",UC_DADOS!$B$2)</f>
        <v>7041435180</v>
      </c>
      <c r="B46" s="107"/>
      <c r="C46" s="67"/>
      <c r="D46" s="70"/>
      <c r="E46" s="70"/>
      <c r="F46" s="70"/>
      <c r="G46" s="70"/>
      <c r="H46" s="70"/>
      <c r="I46" s="293">
        <f t="shared" si="0"/>
        <v>0</v>
      </c>
      <c r="J46" s="70"/>
      <c r="K46" s="67"/>
      <c r="L46" s="70"/>
      <c r="M46" s="70"/>
      <c r="N46" s="70"/>
      <c r="O46" s="70"/>
      <c r="P46" s="112"/>
      <c r="Q46" s="70"/>
      <c r="R46" s="70"/>
      <c r="S46" s="70"/>
      <c r="T46" s="70"/>
      <c r="U46" s="70"/>
      <c r="V46" s="70"/>
      <c r="W46" s="70"/>
      <c r="X46" s="70"/>
      <c r="Y46" s="70"/>
      <c r="Z46" s="108"/>
      <c r="AA46" s="67"/>
      <c r="AB46" s="70"/>
      <c r="AC46" s="70"/>
      <c r="AD46" s="71"/>
      <c r="AE46" s="73"/>
      <c r="AF46" s="108"/>
    </row>
    <row r="47" spans="1:32" s="66" customFormat="1" ht="15" customHeight="1" x14ac:dyDescent="0.25">
      <c r="A47" s="102">
        <f>IF(UC_DADOS!$B$2=0,"",UC_DADOS!$B$2)</f>
        <v>7041435180</v>
      </c>
      <c r="B47" s="107"/>
      <c r="C47" s="67"/>
      <c r="D47" s="70"/>
      <c r="E47" s="70"/>
      <c r="F47" s="70"/>
      <c r="G47" s="70"/>
      <c r="H47" s="70"/>
      <c r="I47" s="293">
        <f t="shared" si="0"/>
        <v>0</v>
      </c>
      <c r="J47" s="70"/>
      <c r="K47" s="67"/>
      <c r="L47" s="70"/>
      <c r="M47" s="70"/>
      <c r="N47" s="70"/>
      <c r="O47" s="70"/>
      <c r="P47" s="112"/>
      <c r="Q47" s="70"/>
      <c r="R47" s="70"/>
      <c r="S47" s="70"/>
      <c r="T47" s="70"/>
      <c r="U47" s="70"/>
      <c r="V47" s="70"/>
      <c r="W47" s="70"/>
      <c r="X47" s="70"/>
      <c r="Y47" s="70"/>
      <c r="Z47" s="108"/>
      <c r="AA47" s="67"/>
      <c r="AB47" s="70"/>
      <c r="AC47" s="70"/>
      <c r="AD47" s="71"/>
      <c r="AE47" s="73"/>
      <c r="AF47" s="108"/>
    </row>
    <row r="48" spans="1:32" s="66" customFormat="1" ht="15" customHeight="1" x14ac:dyDescent="0.25">
      <c r="A48" s="102">
        <f>IF(UC_DADOS!$B$2=0,"",UC_DADOS!$B$2)</f>
        <v>7041435180</v>
      </c>
      <c r="B48" s="107"/>
      <c r="C48" s="67"/>
      <c r="D48" s="70"/>
      <c r="E48" s="70"/>
      <c r="F48" s="70"/>
      <c r="G48" s="70"/>
      <c r="H48" s="70"/>
      <c r="I48" s="293">
        <f t="shared" si="0"/>
        <v>0</v>
      </c>
      <c r="J48" s="70"/>
      <c r="K48" s="67"/>
      <c r="L48" s="70"/>
      <c r="M48" s="70"/>
      <c r="N48" s="70"/>
      <c r="O48" s="70"/>
      <c r="P48" s="112"/>
      <c r="Q48" s="70"/>
      <c r="R48" s="70"/>
      <c r="S48" s="70"/>
      <c r="T48" s="70"/>
      <c r="U48" s="70"/>
      <c r="V48" s="70"/>
      <c r="W48" s="70"/>
      <c r="X48" s="70"/>
      <c r="Y48" s="70"/>
      <c r="Z48" s="108"/>
      <c r="AA48" s="67"/>
      <c r="AB48" s="70"/>
      <c r="AC48" s="70"/>
      <c r="AD48" s="71"/>
      <c r="AE48" s="73"/>
      <c r="AF48" s="108"/>
    </row>
    <row r="49" spans="1:32" s="66" customFormat="1" ht="15" customHeight="1" x14ac:dyDescent="0.25">
      <c r="A49" s="102">
        <f>IF(UC_DADOS!$B$2=0,"",UC_DADOS!$B$2)</f>
        <v>7041435180</v>
      </c>
      <c r="B49" s="107"/>
      <c r="C49" s="67"/>
      <c r="D49" s="70"/>
      <c r="E49" s="70"/>
      <c r="F49" s="70"/>
      <c r="G49" s="70"/>
      <c r="H49" s="70"/>
      <c r="I49" s="293">
        <f t="shared" si="0"/>
        <v>0</v>
      </c>
      <c r="J49" s="70"/>
      <c r="K49" s="67"/>
      <c r="L49" s="70"/>
      <c r="M49" s="70"/>
      <c r="N49" s="70"/>
      <c r="O49" s="70"/>
      <c r="P49" s="112"/>
      <c r="Q49" s="70"/>
      <c r="R49" s="70"/>
      <c r="S49" s="70"/>
      <c r="T49" s="70"/>
      <c r="U49" s="70"/>
      <c r="V49" s="70"/>
      <c r="W49" s="70"/>
      <c r="X49" s="70"/>
      <c r="Y49" s="70"/>
      <c r="Z49" s="108"/>
      <c r="AA49" s="67"/>
      <c r="AB49" s="70"/>
      <c r="AC49" s="70"/>
      <c r="AD49" s="71"/>
      <c r="AE49" s="73"/>
      <c r="AF49" s="108"/>
    </row>
    <row r="50" spans="1:32" s="66" customFormat="1" ht="15" customHeight="1" x14ac:dyDescent="0.25">
      <c r="A50" s="102">
        <f>IF(UC_DADOS!$B$2=0,"",UC_DADOS!$B$2)</f>
        <v>7041435180</v>
      </c>
      <c r="B50" s="107"/>
      <c r="C50" s="67"/>
      <c r="D50" s="70"/>
      <c r="E50" s="70"/>
      <c r="F50" s="70"/>
      <c r="G50" s="70"/>
      <c r="H50" s="70"/>
      <c r="I50" s="293">
        <f t="shared" si="0"/>
        <v>0</v>
      </c>
      <c r="J50" s="70"/>
      <c r="K50" s="67"/>
      <c r="L50" s="70"/>
      <c r="M50" s="70"/>
      <c r="N50" s="70"/>
      <c r="O50" s="70"/>
      <c r="P50" s="112"/>
      <c r="Q50" s="70"/>
      <c r="R50" s="70"/>
      <c r="S50" s="70"/>
      <c r="T50" s="70"/>
      <c r="U50" s="70"/>
      <c r="V50" s="70"/>
      <c r="W50" s="70"/>
      <c r="X50" s="70"/>
      <c r="Y50" s="70"/>
      <c r="Z50" s="108"/>
      <c r="AA50" s="67"/>
      <c r="AB50" s="70"/>
      <c r="AC50" s="70"/>
      <c r="AD50" s="71"/>
      <c r="AE50" s="73"/>
      <c r="AF50" s="108"/>
    </row>
    <row r="51" spans="1:32" s="66" customFormat="1" ht="15" customHeight="1" x14ac:dyDescent="0.25">
      <c r="A51" s="102">
        <f>IF(UC_DADOS!$B$2=0,"",UC_DADOS!$B$2)</f>
        <v>7041435180</v>
      </c>
      <c r="B51" s="107"/>
      <c r="C51" s="67"/>
      <c r="D51" s="70"/>
      <c r="E51" s="70"/>
      <c r="F51" s="70"/>
      <c r="G51" s="70"/>
      <c r="H51" s="70"/>
      <c r="I51" s="293">
        <f t="shared" si="0"/>
        <v>0</v>
      </c>
      <c r="J51" s="70"/>
      <c r="K51" s="67"/>
      <c r="L51" s="70"/>
      <c r="M51" s="70"/>
      <c r="N51" s="70"/>
      <c r="O51" s="70"/>
      <c r="P51" s="112"/>
      <c r="Q51" s="70"/>
      <c r="R51" s="70"/>
      <c r="S51" s="70"/>
      <c r="T51" s="70"/>
      <c r="U51" s="70"/>
      <c r="V51" s="70"/>
      <c r="W51" s="70"/>
      <c r="X51" s="70"/>
      <c r="Y51" s="70"/>
      <c r="Z51" s="108"/>
      <c r="AA51" s="67"/>
      <c r="AB51" s="70"/>
      <c r="AC51" s="70"/>
      <c r="AD51" s="71"/>
      <c r="AE51" s="73"/>
      <c r="AF51" s="108"/>
    </row>
    <row r="52" spans="1:32" s="66" customFormat="1" ht="15" customHeight="1" x14ac:dyDescent="0.25">
      <c r="A52" s="102">
        <f>IF(UC_DADOS!$B$2=0,"",UC_DADOS!$B$2)</f>
        <v>7041435180</v>
      </c>
      <c r="B52" s="107"/>
      <c r="C52" s="67"/>
      <c r="D52" s="70"/>
      <c r="E52" s="70"/>
      <c r="F52" s="70"/>
      <c r="G52" s="70"/>
      <c r="H52" s="70"/>
      <c r="I52" s="293">
        <f t="shared" si="0"/>
        <v>0</v>
      </c>
      <c r="J52" s="70"/>
      <c r="K52" s="67"/>
      <c r="L52" s="70"/>
      <c r="M52" s="70"/>
      <c r="N52" s="70"/>
      <c r="O52" s="70"/>
      <c r="P52" s="112"/>
      <c r="Q52" s="70"/>
      <c r="R52" s="70"/>
      <c r="S52" s="70"/>
      <c r="T52" s="70"/>
      <c r="U52" s="70"/>
      <c r="V52" s="70"/>
      <c r="W52" s="70"/>
      <c r="X52" s="70"/>
      <c r="Y52" s="70"/>
      <c r="Z52" s="108"/>
      <c r="AA52" s="67"/>
      <c r="AB52" s="70"/>
      <c r="AC52" s="70"/>
      <c r="AD52" s="71"/>
      <c r="AE52" s="73"/>
      <c r="AF52" s="108"/>
    </row>
    <row r="53" spans="1:32" s="66" customFormat="1" ht="15" customHeight="1" x14ac:dyDescent="0.25">
      <c r="A53" s="102">
        <f>IF(UC_DADOS!$B$2=0,"",UC_DADOS!$B$2)</f>
        <v>7041435180</v>
      </c>
      <c r="B53" s="107"/>
      <c r="C53" s="67"/>
      <c r="D53" s="70"/>
      <c r="E53" s="70"/>
      <c r="F53" s="70"/>
      <c r="G53" s="70"/>
      <c r="H53" s="70"/>
      <c r="I53" s="293">
        <f t="shared" si="0"/>
        <v>0</v>
      </c>
      <c r="J53" s="70"/>
      <c r="K53" s="67"/>
      <c r="L53" s="70"/>
      <c r="M53" s="70"/>
      <c r="N53" s="70"/>
      <c r="O53" s="70"/>
      <c r="P53" s="112"/>
      <c r="Q53" s="70"/>
      <c r="R53" s="70"/>
      <c r="S53" s="70"/>
      <c r="T53" s="70"/>
      <c r="U53" s="70"/>
      <c r="V53" s="70"/>
      <c r="W53" s="70"/>
      <c r="X53" s="70"/>
      <c r="Y53" s="70"/>
      <c r="Z53" s="108"/>
      <c r="AA53" s="67"/>
      <c r="AB53" s="70"/>
      <c r="AC53" s="70"/>
      <c r="AD53" s="71"/>
      <c r="AE53" s="73"/>
      <c r="AF53" s="108"/>
    </row>
    <row r="54" spans="1:32" s="66" customFormat="1" ht="15" customHeight="1" x14ac:dyDescent="0.25">
      <c r="A54" s="102">
        <f>IF(UC_DADOS!$B$2=0,"",UC_DADOS!$B$2)</f>
        <v>7041435180</v>
      </c>
      <c r="B54" s="107"/>
      <c r="C54" s="67"/>
      <c r="D54" s="70"/>
      <c r="E54" s="70"/>
      <c r="F54" s="70"/>
      <c r="G54" s="70"/>
      <c r="H54" s="70"/>
      <c r="I54" s="293">
        <f t="shared" si="0"/>
        <v>0</v>
      </c>
      <c r="J54" s="70"/>
      <c r="K54" s="67"/>
      <c r="L54" s="70"/>
      <c r="M54" s="70"/>
      <c r="N54" s="70"/>
      <c r="O54" s="70"/>
      <c r="P54" s="112"/>
      <c r="Q54" s="70"/>
      <c r="R54" s="70"/>
      <c r="S54" s="70"/>
      <c r="T54" s="70"/>
      <c r="U54" s="70"/>
      <c r="V54" s="70"/>
      <c r="W54" s="70"/>
      <c r="X54" s="70"/>
      <c r="Y54" s="70"/>
      <c r="Z54" s="108"/>
      <c r="AA54" s="67"/>
      <c r="AB54" s="70"/>
      <c r="AC54" s="70"/>
      <c r="AD54" s="71"/>
      <c r="AE54" s="73"/>
      <c r="AF54" s="108"/>
    </row>
    <row r="55" spans="1:32" s="66" customFormat="1" ht="15" customHeight="1" x14ac:dyDescent="0.25">
      <c r="A55" s="102">
        <f>IF(UC_DADOS!$B$2=0,"",UC_DADOS!$B$2)</f>
        <v>7041435180</v>
      </c>
      <c r="B55" s="107"/>
      <c r="C55" s="67"/>
      <c r="D55" s="70"/>
      <c r="E55" s="70"/>
      <c r="F55" s="70"/>
      <c r="G55" s="70"/>
      <c r="H55" s="70"/>
      <c r="I55" s="293">
        <f t="shared" si="0"/>
        <v>0</v>
      </c>
      <c r="J55" s="70"/>
      <c r="K55" s="67"/>
      <c r="L55" s="70"/>
      <c r="M55" s="70"/>
      <c r="N55" s="70"/>
      <c r="O55" s="70"/>
      <c r="P55" s="112"/>
      <c r="Q55" s="70"/>
      <c r="R55" s="70"/>
      <c r="S55" s="70"/>
      <c r="T55" s="70"/>
      <c r="U55" s="70"/>
      <c r="V55" s="70"/>
      <c r="W55" s="70"/>
      <c r="X55" s="70"/>
      <c r="Y55" s="70"/>
      <c r="Z55" s="108"/>
      <c r="AA55" s="67"/>
      <c r="AB55" s="70"/>
      <c r="AC55" s="70"/>
      <c r="AD55" s="71"/>
      <c r="AE55" s="73"/>
      <c r="AF55" s="108"/>
    </row>
    <row r="56" spans="1:32" s="66" customFormat="1" ht="15" customHeight="1" x14ac:dyDescent="0.25">
      <c r="A56" s="102">
        <f>IF(UC_DADOS!$B$2=0,"",UC_DADOS!$B$2)</f>
        <v>7041435180</v>
      </c>
      <c r="B56" s="107"/>
      <c r="C56" s="67"/>
      <c r="D56" s="70"/>
      <c r="E56" s="70"/>
      <c r="F56" s="70"/>
      <c r="G56" s="70"/>
      <c r="H56" s="70"/>
      <c r="I56" s="293">
        <f t="shared" si="0"/>
        <v>0</v>
      </c>
      <c r="J56" s="70"/>
      <c r="K56" s="67"/>
      <c r="L56" s="70"/>
      <c r="M56" s="70"/>
      <c r="N56" s="70"/>
      <c r="O56" s="70"/>
      <c r="P56" s="112"/>
      <c r="Q56" s="70"/>
      <c r="R56" s="70"/>
      <c r="S56" s="70"/>
      <c r="T56" s="70"/>
      <c r="U56" s="70"/>
      <c r="V56" s="70"/>
      <c r="W56" s="70"/>
      <c r="X56" s="70"/>
      <c r="Y56" s="70"/>
      <c r="Z56" s="108"/>
      <c r="AA56" s="67"/>
      <c r="AB56" s="70"/>
      <c r="AC56" s="70"/>
      <c r="AD56" s="71"/>
      <c r="AE56" s="73"/>
      <c r="AF56" s="108"/>
    </row>
    <row r="57" spans="1:32" s="66" customFormat="1" ht="15" customHeight="1" x14ac:dyDescent="0.25">
      <c r="A57" s="102">
        <f>IF(UC_DADOS!$B$2=0,"",UC_DADOS!$B$2)</f>
        <v>7041435180</v>
      </c>
      <c r="B57" s="107"/>
      <c r="C57" s="67"/>
      <c r="D57" s="70"/>
      <c r="E57" s="70"/>
      <c r="F57" s="70"/>
      <c r="G57" s="70"/>
      <c r="H57" s="70"/>
      <c r="I57" s="293">
        <f t="shared" si="0"/>
        <v>0</v>
      </c>
      <c r="J57" s="70"/>
      <c r="K57" s="67"/>
      <c r="L57" s="70"/>
      <c r="M57" s="70"/>
      <c r="N57" s="70"/>
      <c r="O57" s="70"/>
      <c r="P57" s="112"/>
      <c r="Q57" s="70"/>
      <c r="R57" s="70"/>
      <c r="S57" s="70"/>
      <c r="T57" s="70"/>
      <c r="U57" s="70"/>
      <c r="V57" s="70"/>
      <c r="W57" s="70"/>
      <c r="X57" s="70"/>
      <c r="Y57" s="70"/>
      <c r="Z57" s="108"/>
      <c r="AA57" s="67"/>
      <c r="AB57" s="70"/>
      <c r="AC57" s="70"/>
      <c r="AD57" s="71"/>
      <c r="AE57" s="73"/>
      <c r="AF57" s="108"/>
    </row>
    <row r="58" spans="1:32" s="66" customFormat="1" ht="15" customHeight="1" x14ac:dyDescent="0.25">
      <c r="A58" s="102">
        <f>IF(UC_DADOS!$B$2=0,"",UC_DADOS!$B$2)</f>
        <v>7041435180</v>
      </c>
      <c r="B58" s="107"/>
      <c r="C58" s="67"/>
      <c r="D58" s="70"/>
      <c r="E58" s="70"/>
      <c r="F58" s="70"/>
      <c r="G58" s="70"/>
      <c r="H58" s="70"/>
      <c r="I58" s="293">
        <f t="shared" si="0"/>
        <v>0</v>
      </c>
      <c r="J58" s="70"/>
      <c r="K58" s="67"/>
      <c r="L58" s="70"/>
      <c r="M58" s="70"/>
      <c r="N58" s="70"/>
      <c r="O58" s="70"/>
      <c r="P58" s="112"/>
      <c r="Q58" s="70"/>
      <c r="R58" s="70"/>
      <c r="S58" s="70"/>
      <c r="T58" s="70"/>
      <c r="U58" s="70"/>
      <c r="V58" s="70"/>
      <c r="W58" s="70"/>
      <c r="X58" s="70"/>
      <c r="Y58" s="70"/>
      <c r="Z58" s="108"/>
      <c r="AA58" s="67"/>
      <c r="AB58" s="70"/>
      <c r="AC58" s="70"/>
      <c r="AD58" s="71"/>
      <c r="AE58" s="73"/>
      <c r="AF58" s="108"/>
    </row>
    <row r="59" spans="1:32" s="66" customFormat="1" ht="15" customHeight="1" x14ac:dyDescent="0.25">
      <c r="A59" s="102">
        <f>IF(UC_DADOS!$B$2=0,"",UC_DADOS!$B$2)</f>
        <v>7041435180</v>
      </c>
      <c r="B59" s="107"/>
      <c r="C59" s="67"/>
      <c r="D59" s="70"/>
      <c r="E59" s="70"/>
      <c r="F59" s="70"/>
      <c r="G59" s="70"/>
      <c r="H59" s="70"/>
      <c r="I59" s="293">
        <f t="shared" si="0"/>
        <v>0</v>
      </c>
      <c r="J59" s="70"/>
      <c r="K59" s="67"/>
      <c r="L59" s="70"/>
      <c r="M59" s="70"/>
      <c r="N59" s="70"/>
      <c r="O59" s="70"/>
      <c r="P59" s="112"/>
      <c r="Q59" s="70"/>
      <c r="R59" s="70"/>
      <c r="S59" s="70"/>
      <c r="T59" s="70"/>
      <c r="U59" s="70"/>
      <c r="V59" s="70"/>
      <c r="W59" s="70"/>
      <c r="X59" s="70"/>
      <c r="Y59" s="70"/>
      <c r="Z59" s="108"/>
      <c r="AA59" s="67"/>
      <c r="AB59" s="70"/>
      <c r="AC59" s="70"/>
      <c r="AD59" s="71"/>
      <c r="AE59" s="73"/>
      <c r="AF59" s="108"/>
    </row>
    <row r="60" spans="1:32" s="66" customFormat="1" ht="15" customHeight="1" x14ac:dyDescent="0.25">
      <c r="A60" s="102">
        <f>IF(UC_DADOS!$B$2=0,"",UC_DADOS!$B$2)</f>
        <v>7041435180</v>
      </c>
      <c r="B60" s="107"/>
      <c r="C60" s="67"/>
      <c r="D60" s="70"/>
      <c r="E60" s="70"/>
      <c r="F60" s="70"/>
      <c r="G60" s="70"/>
      <c r="H60" s="70"/>
      <c r="I60" s="293">
        <f t="shared" si="0"/>
        <v>0</v>
      </c>
      <c r="J60" s="70"/>
      <c r="K60" s="67"/>
      <c r="L60" s="70"/>
      <c r="M60" s="70"/>
      <c r="N60" s="70"/>
      <c r="O60" s="70"/>
      <c r="P60" s="112"/>
      <c r="Q60" s="70"/>
      <c r="R60" s="70"/>
      <c r="S60" s="70"/>
      <c r="T60" s="70"/>
      <c r="U60" s="70"/>
      <c r="V60" s="70"/>
      <c r="W60" s="70"/>
      <c r="X60" s="70"/>
      <c r="Y60" s="70"/>
      <c r="Z60" s="108"/>
      <c r="AA60" s="67"/>
      <c r="AB60" s="70"/>
      <c r="AC60" s="70"/>
      <c r="AD60" s="71"/>
      <c r="AE60" s="73"/>
      <c r="AF60" s="108"/>
    </row>
    <row r="61" spans="1:32" s="66" customFormat="1" ht="15" customHeight="1" x14ac:dyDescent="0.25">
      <c r="A61" s="102">
        <f>IF(UC_DADOS!$B$2=0,"",UC_DADOS!$B$2)</f>
        <v>7041435180</v>
      </c>
      <c r="B61" s="107"/>
      <c r="C61" s="67"/>
      <c r="D61" s="70"/>
      <c r="E61" s="70"/>
      <c r="F61" s="70"/>
      <c r="G61" s="70"/>
      <c r="H61" s="70"/>
      <c r="I61" s="293">
        <f t="shared" si="0"/>
        <v>0</v>
      </c>
      <c r="J61" s="70"/>
      <c r="K61" s="67"/>
      <c r="L61" s="70"/>
      <c r="M61" s="70"/>
      <c r="N61" s="70"/>
      <c r="O61" s="70"/>
      <c r="P61" s="112"/>
      <c r="Q61" s="70"/>
      <c r="R61" s="70"/>
      <c r="S61" s="70"/>
      <c r="T61" s="70"/>
      <c r="U61" s="70"/>
      <c r="V61" s="70"/>
      <c r="W61" s="70"/>
      <c r="X61" s="70"/>
      <c r="Y61" s="70"/>
      <c r="Z61" s="108"/>
      <c r="AA61" s="67"/>
      <c r="AB61" s="70"/>
      <c r="AC61" s="70"/>
      <c r="AD61" s="71"/>
      <c r="AE61" s="73"/>
      <c r="AF61" s="108"/>
    </row>
    <row r="62" spans="1:32" s="66" customFormat="1" ht="15" customHeight="1" x14ac:dyDescent="0.25">
      <c r="A62" s="102">
        <f>IF(UC_DADOS!$B$2=0,"",UC_DADOS!$B$2)</f>
        <v>7041435180</v>
      </c>
      <c r="B62" s="107"/>
      <c r="C62" s="67"/>
      <c r="D62" s="70"/>
      <c r="E62" s="70"/>
      <c r="F62" s="70"/>
      <c r="G62" s="70"/>
      <c r="H62" s="70"/>
      <c r="I62" s="293">
        <f t="shared" si="0"/>
        <v>0</v>
      </c>
      <c r="J62" s="70"/>
      <c r="K62" s="67"/>
      <c r="L62" s="70"/>
      <c r="M62" s="70"/>
      <c r="N62" s="70"/>
      <c r="O62" s="70"/>
      <c r="P62" s="112"/>
      <c r="Q62" s="70"/>
      <c r="R62" s="70"/>
      <c r="S62" s="70"/>
      <c r="T62" s="70"/>
      <c r="U62" s="70"/>
      <c r="V62" s="70"/>
      <c r="W62" s="70"/>
      <c r="X62" s="70"/>
      <c r="Y62" s="70"/>
      <c r="Z62" s="108"/>
      <c r="AA62" s="67"/>
      <c r="AB62" s="70"/>
      <c r="AC62" s="70"/>
      <c r="AD62" s="71"/>
      <c r="AE62" s="73"/>
      <c r="AF62" s="108"/>
    </row>
    <row r="63" spans="1:32" s="66" customFormat="1" ht="15" customHeight="1" x14ac:dyDescent="0.25">
      <c r="A63" s="102">
        <f>IF(UC_DADOS!$B$2=0,"",UC_DADOS!$B$2)</f>
        <v>7041435180</v>
      </c>
      <c r="B63" s="107"/>
      <c r="C63" s="67"/>
      <c r="D63" s="70"/>
      <c r="E63" s="70"/>
      <c r="F63" s="70"/>
      <c r="G63" s="70"/>
      <c r="H63" s="70"/>
      <c r="I63" s="293">
        <f t="shared" si="0"/>
        <v>0</v>
      </c>
      <c r="J63" s="70"/>
      <c r="K63" s="67"/>
      <c r="L63" s="70"/>
      <c r="M63" s="70"/>
      <c r="N63" s="70"/>
      <c r="O63" s="70"/>
      <c r="P63" s="112"/>
      <c r="Q63" s="70"/>
      <c r="R63" s="70"/>
      <c r="S63" s="70"/>
      <c r="T63" s="70"/>
      <c r="U63" s="70"/>
      <c r="V63" s="70"/>
      <c r="W63" s="70"/>
      <c r="X63" s="70"/>
      <c r="Y63" s="70"/>
      <c r="Z63" s="108"/>
      <c r="AA63" s="67"/>
      <c r="AB63" s="70"/>
      <c r="AC63" s="70"/>
      <c r="AD63" s="71"/>
      <c r="AE63" s="73"/>
      <c r="AF63" s="108"/>
    </row>
    <row r="64" spans="1:32" s="66" customFormat="1" ht="15" customHeight="1" x14ac:dyDescent="0.25">
      <c r="A64" s="102">
        <f>IF(UC_DADOS!$B$2=0,"",UC_DADOS!$B$2)</f>
        <v>7041435180</v>
      </c>
      <c r="B64" s="107"/>
      <c r="C64" s="67"/>
      <c r="D64" s="70"/>
      <c r="E64" s="70"/>
      <c r="F64" s="70"/>
      <c r="G64" s="70"/>
      <c r="H64" s="70"/>
      <c r="I64" s="293">
        <f t="shared" si="0"/>
        <v>0</v>
      </c>
      <c r="J64" s="70"/>
      <c r="K64" s="67"/>
      <c r="L64" s="70"/>
      <c r="M64" s="70"/>
      <c r="N64" s="70"/>
      <c r="O64" s="70"/>
      <c r="P64" s="112"/>
      <c r="Q64" s="70"/>
      <c r="R64" s="70"/>
      <c r="S64" s="70"/>
      <c r="T64" s="70"/>
      <c r="U64" s="70"/>
      <c r="V64" s="70"/>
      <c r="W64" s="70"/>
      <c r="X64" s="70"/>
      <c r="Y64" s="70"/>
      <c r="Z64" s="108"/>
      <c r="AA64" s="67"/>
      <c r="AB64" s="70"/>
      <c r="AC64" s="70"/>
      <c r="AD64" s="71"/>
      <c r="AE64" s="73"/>
      <c r="AF64" s="108"/>
    </row>
    <row r="65" spans="1:32" s="66" customFormat="1" ht="15" customHeight="1" x14ac:dyDescent="0.25">
      <c r="A65" s="102">
        <f>IF(UC_DADOS!$B$2=0,"",UC_DADOS!$B$2)</f>
        <v>7041435180</v>
      </c>
      <c r="B65" s="107"/>
      <c r="C65" s="67"/>
      <c r="D65" s="70"/>
      <c r="E65" s="70"/>
      <c r="F65" s="70"/>
      <c r="G65" s="70"/>
      <c r="H65" s="70"/>
      <c r="I65" s="293">
        <f t="shared" si="0"/>
        <v>0</v>
      </c>
      <c r="J65" s="70"/>
      <c r="K65" s="67"/>
      <c r="L65" s="70"/>
      <c r="M65" s="70"/>
      <c r="N65" s="70"/>
      <c r="O65" s="70"/>
      <c r="P65" s="112"/>
      <c r="Q65" s="70"/>
      <c r="R65" s="70"/>
      <c r="S65" s="70"/>
      <c r="T65" s="70"/>
      <c r="U65" s="70"/>
      <c r="V65" s="70"/>
      <c r="W65" s="70"/>
      <c r="X65" s="70"/>
      <c r="Y65" s="70"/>
      <c r="Z65" s="108"/>
      <c r="AA65" s="67"/>
      <c r="AB65" s="70"/>
      <c r="AC65" s="70"/>
      <c r="AD65" s="71"/>
      <c r="AE65" s="73"/>
      <c r="AF65" s="108"/>
    </row>
    <row r="66" spans="1:32" s="66" customFormat="1" ht="15" customHeight="1" x14ac:dyDescent="0.25">
      <c r="A66" s="102">
        <f>IF(UC_DADOS!$B$2=0,"",UC_DADOS!$B$2)</f>
        <v>7041435180</v>
      </c>
      <c r="B66" s="107"/>
      <c r="C66" s="67"/>
      <c r="D66" s="70"/>
      <c r="E66" s="70"/>
      <c r="F66" s="70"/>
      <c r="G66" s="70"/>
      <c r="H66" s="70"/>
      <c r="I66" s="293">
        <f t="shared" si="0"/>
        <v>0</v>
      </c>
      <c r="J66" s="70"/>
      <c r="K66" s="67"/>
      <c r="L66" s="70"/>
      <c r="M66" s="70"/>
      <c r="N66" s="70"/>
      <c r="O66" s="70"/>
      <c r="P66" s="112"/>
      <c r="Q66" s="70"/>
      <c r="R66" s="70"/>
      <c r="S66" s="70"/>
      <c r="T66" s="70"/>
      <c r="U66" s="70"/>
      <c r="V66" s="70"/>
      <c r="W66" s="70"/>
      <c r="X66" s="70"/>
      <c r="Y66" s="70"/>
      <c r="Z66" s="108"/>
      <c r="AA66" s="67"/>
      <c r="AB66" s="70"/>
      <c r="AC66" s="70"/>
      <c r="AD66" s="71"/>
      <c r="AE66" s="73"/>
      <c r="AF66" s="108"/>
    </row>
    <row r="67" spans="1:32" s="66" customFormat="1" ht="15" customHeight="1" x14ac:dyDescent="0.25">
      <c r="A67" s="102">
        <f>IF(UC_DADOS!$B$2=0,"",UC_DADOS!$B$2)</f>
        <v>7041435180</v>
      </c>
      <c r="B67" s="107"/>
      <c r="C67" s="67"/>
      <c r="D67" s="70"/>
      <c r="E67" s="70"/>
      <c r="F67" s="70"/>
      <c r="G67" s="70"/>
      <c r="H67" s="70"/>
      <c r="I67" s="293">
        <f t="shared" si="0"/>
        <v>0</v>
      </c>
      <c r="J67" s="70"/>
      <c r="K67" s="67"/>
      <c r="L67" s="70"/>
      <c r="M67" s="70"/>
      <c r="N67" s="70"/>
      <c r="O67" s="70"/>
      <c r="P67" s="112"/>
      <c r="Q67" s="70"/>
      <c r="R67" s="70"/>
      <c r="S67" s="70"/>
      <c r="T67" s="70"/>
      <c r="U67" s="70"/>
      <c r="V67" s="70"/>
      <c r="W67" s="70"/>
      <c r="X67" s="70"/>
      <c r="Y67" s="70"/>
      <c r="Z67" s="108"/>
      <c r="AA67" s="67"/>
      <c r="AB67" s="70"/>
      <c r="AC67" s="70"/>
      <c r="AD67" s="71"/>
      <c r="AE67" s="73"/>
      <c r="AF67" s="108"/>
    </row>
    <row r="68" spans="1:32" s="66" customFormat="1" ht="15" customHeight="1" x14ac:dyDescent="0.25">
      <c r="A68" s="102">
        <f>IF(UC_DADOS!$B$2=0,"",UC_DADOS!$B$2)</f>
        <v>7041435180</v>
      </c>
      <c r="B68" s="107"/>
      <c r="C68" s="67"/>
      <c r="D68" s="70"/>
      <c r="E68" s="70"/>
      <c r="F68" s="70"/>
      <c r="G68" s="70"/>
      <c r="H68" s="70"/>
      <c r="I68" s="293">
        <f t="shared" ref="I68:I100" si="1">J68*E68</f>
        <v>0</v>
      </c>
      <c r="J68" s="70"/>
      <c r="K68" s="67"/>
      <c r="L68" s="70"/>
      <c r="M68" s="70"/>
      <c r="N68" s="70"/>
      <c r="O68" s="70"/>
      <c r="P68" s="112"/>
      <c r="Q68" s="70"/>
      <c r="R68" s="70"/>
      <c r="S68" s="70"/>
      <c r="T68" s="70"/>
      <c r="U68" s="70"/>
      <c r="V68" s="70"/>
      <c r="W68" s="70"/>
      <c r="X68" s="70"/>
      <c r="Y68" s="70"/>
      <c r="Z68" s="108"/>
      <c r="AA68" s="67"/>
      <c r="AB68" s="70"/>
      <c r="AC68" s="70"/>
      <c r="AD68" s="71"/>
      <c r="AE68" s="73"/>
      <c r="AF68" s="108"/>
    </row>
    <row r="69" spans="1:32" s="66" customFormat="1" ht="15" customHeight="1" x14ac:dyDescent="0.25">
      <c r="A69" s="102">
        <f>IF(UC_DADOS!$B$2=0,"",UC_DADOS!$B$2)</f>
        <v>7041435180</v>
      </c>
      <c r="B69" s="107"/>
      <c r="C69" s="67"/>
      <c r="D69" s="70"/>
      <c r="E69" s="70"/>
      <c r="F69" s="70"/>
      <c r="G69" s="70"/>
      <c r="H69" s="70"/>
      <c r="I69" s="293">
        <f t="shared" si="1"/>
        <v>0</v>
      </c>
      <c r="J69" s="70"/>
      <c r="K69" s="67"/>
      <c r="L69" s="70"/>
      <c r="M69" s="70"/>
      <c r="N69" s="70"/>
      <c r="O69" s="70"/>
      <c r="P69" s="112"/>
      <c r="Q69" s="70"/>
      <c r="R69" s="70"/>
      <c r="S69" s="70"/>
      <c r="T69" s="70"/>
      <c r="U69" s="70"/>
      <c r="V69" s="70"/>
      <c r="W69" s="70"/>
      <c r="X69" s="70"/>
      <c r="Y69" s="70"/>
      <c r="Z69" s="108"/>
      <c r="AA69" s="67"/>
      <c r="AB69" s="70"/>
      <c r="AC69" s="70"/>
      <c r="AD69" s="71"/>
      <c r="AE69" s="73"/>
      <c r="AF69" s="108"/>
    </row>
    <row r="70" spans="1:32" s="66" customFormat="1" ht="15" customHeight="1" x14ac:dyDescent="0.25">
      <c r="A70" s="102">
        <f>IF(UC_DADOS!$B$2=0,"",UC_DADOS!$B$2)</f>
        <v>7041435180</v>
      </c>
      <c r="B70" s="107"/>
      <c r="C70" s="67"/>
      <c r="D70" s="70"/>
      <c r="E70" s="70"/>
      <c r="F70" s="70"/>
      <c r="G70" s="70"/>
      <c r="H70" s="70"/>
      <c r="I70" s="293">
        <f t="shared" si="1"/>
        <v>0</v>
      </c>
      <c r="J70" s="70"/>
      <c r="K70" s="67"/>
      <c r="L70" s="70"/>
      <c r="M70" s="70"/>
      <c r="N70" s="70"/>
      <c r="O70" s="70"/>
      <c r="P70" s="112"/>
      <c r="Q70" s="70"/>
      <c r="R70" s="70"/>
      <c r="S70" s="70"/>
      <c r="T70" s="70"/>
      <c r="U70" s="70"/>
      <c r="V70" s="70"/>
      <c r="W70" s="70"/>
      <c r="X70" s="70"/>
      <c r="Y70" s="70"/>
      <c r="Z70" s="108"/>
      <c r="AA70" s="67"/>
      <c r="AB70" s="70"/>
      <c r="AC70" s="70"/>
      <c r="AD70" s="71"/>
      <c r="AE70" s="73"/>
      <c r="AF70" s="108"/>
    </row>
    <row r="71" spans="1:32" s="66" customFormat="1" ht="15" customHeight="1" x14ac:dyDescent="0.25">
      <c r="A71" s="102">
        <f>IF(UC_DADOS!$B$2=0,"",UC_DADOS!$B$2)</f>
        <v>7041435180</v>
      </c>
      <c r="B71" s="107"/>
      <c r="C71" s="67"/>
      <c r="D71" s="70"/>
      <c r="E71" s="70"/>
      <c r="F71" s="70"/>
      <c r="G71" s="70"/>
      <c r="H71" s="70"/>
      <c r="I71" s="293">
        <f t="shared" si="1"/>
        <v>0</v>
      </c>
      <c r="J71" s="70"/>
      <c r="K71" s="67"/>
      <c r="L71" s="70"/>
      <c r="M71" s="70"/>
      <c r="N71" s="70"/>
      <c r="O71" s="70"/>
      <c r="P71" s="112"/>
      <c r="Q71" s="70"/>
      <c r="R71" s="70"/>
      <c r="S71" s="70"/>
      <c r="T71" s="70"/>
      <c r="U71" s="70"/>
      <c r="V71" s="70"/>
      <c r="W71" s="70"/>
      <c r="X71" s="70"/>
      <c r="Y71" s="70"/>
      <c r="Z71" s="108"/>
      <c r="AA71" s="67"/>
      <c r="AB71" s="70"/>
      <c r="AC71" s="70"/>
      <c r="AD71" s="71"/>
      <c r="AE71" s="73"/>
      <c r="AF71" s="108"/>
    </row>
    <row r="72" spans="1:32" s="66" customFormat="1" ht="15" customHeight="1" x14ac:dyDescent="0.25">
      <c r="A72" s="102">
        <f>IF(UC_DADOS!$B$2=0,"",UC_DADOS!$B$2)</f>
        <v>7041435180</v>
      </c>
      <c r="B72" s="107"/>
      <c r="C72" s="67"/>
      <c r="D72" s="70"/>
      <c r="E72" s="70"/>
      <c r="F72" s="70"/>
      <c r="G72" s="70"/>
      <c r="H72" s="70"/>
      <c r="I72" s="293">
        <f t="shared" si="1"/>
        <v>0</v>
      </c>
      <c r="J72" s="70"/>
      <c r="K72" s="67"/>
      <c r="L72" s="70"/>
      <c r="M72" s="70"/>
      <c r="N72" s="70"/>
      <c r="O72" s="70"/>
      <c r="P72" s="112"/>
      <c r="Q72" s="70"/>
      <c r="R72" s="70"/>
      <c r="S72" s="70"/>
      <c r="T72" s="70"/>
      <c r="U72" s="70"/>
      <c r="V72" s="70"/>
      <c r="W72" s="70"/>
      <c r="X72" s="70"/>
      <c r="Y72" s="70"/>
      <c r="Z72" s="108"/>
      <c r="AA72" s="67"/>
      <c r="AB72" s="70"/>
      <c r="AC72" s="70"/>
      <c r="AD72" s="71"/>
      <c r="AE72" s="73"/>
      <c r="AF72" s="108"/>
    </row>
    <row r="73" spans="1:32" s="66" customFormat="1" ht="15" customHeight="1" x14ac:dyDescent="0.25">
      <c r="A73" s="102">
        <f>IF(UC_DADOS!$B$2=0,"",UC_DADOS!$B$2)</f>
        <v>7041435180</v>
      </c>
      <c r="B73" s="107"/>
      <c r="C73" s="67"/>
      <c r="D73" s="70"/>
      <c r="E73" s="70"/>
      <c r="F73" s="70"/>
      <c r="G73" s="70"/>
      <c r="H73" s="70"/>
      <c r="I73" s="293">
        <f t="shared" si="1"/>
        <v>0</v>
      </c>
      <c r="J73" s="70"/>
      <c r="K73" s="67"/>
      <c r="L73" s="70"/>
      <c r="M73" s="70"/>
      <c r="N73" s="70"/>
      <c r="O73" s="70"/>
      <c r="P73" s="112"/>
      <c r="Q73" s="70"/>
      <c r="R73" s="70"/>
      <c r="S73" s="70"/>
      <c r="T73" s="70"/>
      <c r="U73" s="70"/>
      <c r="V73" s="70"/>
      <c r="W73" s="70"/>
      <c r="X73" s="70"/>
      <c r="Y73" s="70"/>
      <c r="Z73" s="108"/>
      <c r="AA73" s="67"/>
      <c r="AB73" s="70"/>
      <c r="AC73" s="70"/>
      <c r="AD73" s="71"/>
      <c r="AE73" s="73"/>
      <c r="AF73" s="108"/>
    </row>
    <row r="74" spans="1:32" s="66" customFormat="1" ht="15" customHeight="1" x14ac:dyDescent="0.25">
      <c r="A74" s="102">
        <f>IF(UC_DADOS!$B$2=0,"",UC_DADOS!$B$2)</f>
        <v>7041435180</v>
      </c>
      <c r="B74" s="107"/>
      <c r="C74" s="67"/>
      <c r="D74" s="70"/>
      <c r="E74" s="70"/>
      <c r="F74" s="70"/>
      <c r="G74" s="70"/>
      <c r="H74" s="70"/>
      <c r="I74" s="293">
        <f t="shared" si="1"/>
        <v>0</v>
      </c>
      <c r="J74" s="70"/>
      <c r="K74" s="67"/>
      <c r="L74" s="70"/>
      <c r="M74" s="70"/>
      <c r="N74" s="70"/>
      <c r="O74" s="70"/>
      <c r="P74" s="112"/>
      <c r="Q74" s="70"/>
      <c r="R74" s="70"/>
      <c r="S74" s="70"/>
      <c r="T74" s="70"/>
      <c r="U74" s="70"/>
      <c r="V74" s="70"/>
      <c r="W74" s="70"/>
      <c r="X74" s="70"/>
      <c r="Y74" s="70"/>
      <c r="Z74" s="108"/>
      <c r="AA74" s="67"/>
      <c r="AB74" s="70"/>
      <c r="AC74" s="70"/>
      <c r="AD74" s="71"/>
      <c r="AE74" s="73"/>
      <c r="AF74" s="108"/>
    </row>
    <row r="75" spans="1:32" s="66" customFormat="1" ht="15" customHeight="1" x14ac:dyDescent="0.25">
      <c r="A75" s="102">
        <f>IF(UC_DADOS!$B$2=0,"",UC_DADOS!$B$2)</f>
        <v>7041435180</v>
      </c>
      <c r="B75" s="107"/>
      <c r="C75" s="67"/>
      <c r="D75" s="70"/>
      <c r="E75" s="70"/>
      <c r="F75" s="70"/>
      <c r="G75" s="70"/>
      <c r="H75" s="70"/>
      <c r="I75" s="293">
        <f t="shared" si="1"/>
        <v>0</v>
      </c>
      <c r="J75" s="70"/>
      <c r="K75" s="67"/>
      <c r="L75" s="70"/>
      <c r="M75" s="70"/>
      <c r="N75" s="70"/>
      <c r="O75" s="70"/>
      <c r="P75" s="112"/>
      <c r="Q75" s="70"/>
      <c r="R75" s="70"/>
      <c r="S75" s="70"/>
      <c r="T75" s="70"/>
      <c r="U75" s="70"/>
      <c r="V75" s="70"/>
      <c r="W75" s="70"/>
      <c r="X75" s="70"/>
      <c r="Y75" s="70"/>
      <c r="Z75" s="108"/>
      <c r="AA75" s="67"/>
      <c r="AB75" s="70"/>
      <c r="AC75" s="70"/>
      <c r="AD75" s="71"/>
      <c r="AE75" s="73"/>
      <c r="AF75" s="108"/>
    </row>
    <row r="76" spans="1:32" s="66" customFormat="1" ht="15" customHeight="1" x14ac:dyDescent="0.25">
      <c r="A76" s="102">
        <f>IF(UC_DADOS!$B$2=0,"",UC_DADOS!$B$2)</f>
        <v>7041435180</v>
      </c>
      <c r="B76" s="107"/>
      <c r="C76" s="67"/>
      <c r="D76" s="70"/>
      <c r="E76" s="70"/>
      <c r="F76" s="70"/>
      <c r="G76" s="70"/>
      <c r="H76" s="70"/>
      <c r="I76" s="293">
        <f t="shared" si="1"/>
        <v>0</v>
      </c>
      <c r="J76" s="70"/>
      <c r="K76" s="67"/>
      <c r="L76" s="70"/>
      <c r="M76" s="70"/>
      <c r="N76" s="70"/>
      <c r="O76" s="70"/>
      <c r="P76" s="112"/>
      <c r="Q76" s="70"/>
      <c r="R76" s="70"/>
      <c r="S76" s="70"/>
      <c r="T76" s="70"/>
      <c r="U76" s="70"/>
      <c r="V76" s="70"/>
      <c r="W76" s="70"/>
      <c r="X76" s="70"/>
      <c r="Y76" s="70"/>
      <c r="Z76" s="108"/>
      <c r="AA76" s="67"/>
      <c r="AB76" s="70"/>
      <c r="AC76" s="70"/>
      <c r="AD76" s="71"/>
      <c r="AE76" s="73"/>
      <c r="AF76" s="108"/>
    </row>
    <row r="77" spans="1:32" s="66" customFormat="1" ht="15" customHeight="1" x14ac:dyDescent="0.25">
      <c r="A77" s="102">
        <f>IF(UC_DADOS!$B$2=0,"",UC_DADOS!$B$2)</f>
        <v>7041435180</v>
      </c>
      <c r="B77" s="107"/>
      <c r="C77" s="67"/>
      <c r="D77" s="70"/>
      <c r="E77" s="70"/>
      <c r="F77" s="70"/>
      <c r="G77" s="70"/>
      <c r="H77" s="70"/>
      <c r="I77" s="293">
        <f t="shared" si="1"/>
        <v>0</v>
      </c>
      <c r="J77" s="70"/>
      <c r="K77" s="67"/>
      <c r="L77" s="70"/>
      <c r="M77" s="70"/>
      <c r="N77" s="70"/>
      <c r="O77" s="70"/>
      <c r="P77" s="112"/>
      <c r="Q77" s="70"/>
      <c r="R77" s="70"/>
      <c r="S77" s="70"/>
      <c r="T77" s="70"/>
      <c r="U77" s="70"/>
      <c r="V77" s="70"/>
      <c r="W77" s="70"/>
      <c r="X77" s="70"/>
      <c r="Y77" s="70"/>
      <c r="Z77" s="108"/>
      <c r="AA77" s="67"/>
      <c r="AB77" s="70"/>
      <c r="AC77" s="70"/>
      <c r="AD77" s="71"/>
      <c r="AE77" s="73"/>
      <c r="AF77" s="108"/>
    </row>
    <row r="78" spans="1:32" s="66" customFormat="1" ht="15" customHeight="1" x14ac:dyDescent="0.25">
      <c r="A78" s="102">
        <f>IF(UC_DADOS!$B$2=0,"",UC_DADOS!$B$2)</f>
        <v>7041435180</v>
      </c>
      <c r="B78" s="107"/>
      <c r="C78" s="67"/>
      <c r="D78" s="70"/>
      <c r="E78" s="70"/>
      <c r="F78" s="70"/>
      <c r="G78" s="70"/>
      <c r="H78" s="70"/>
      <c r="I78" s="293">
        <f t="shared" si="1"/>
        <v>0</v>
      </c>
      <c r="J78" s="70"/>
      <c r="K78" s="67"/>
      <c r="L78" s="70"/>
      <c r="M78" s="70"/>
      <c r="N78" s="70"/>
      <c r="O78" s="70"/>
      <c r="P78" s="112"/>
      <c r="Q78" s="70"/>
      <c r="R78" s="70"/>
      <c r="S78" s="70"/>
      <c r="T78" s="70"/>
      <c r="U78" s="70"/>
      <c r="V78" s="70"/>
      <c r="W78" s="70"/>
      <c r="X78" s="70"/>
      <c r="Y78" s="70"/>
      <c r="Z78" s="108"/>
      <c r="AA78" s="67"/>
      <c r="AB78" s="70"/>
      <c r="AC78" s="70"/>
      <c r="AD78" s="71"/>
      <c r="AE78" s="73"/>
      <c r="AF78" s="108"/>
    </row>
    <row r="79" spans="1:32" s="66" customFormat="1" ht="15" customHeight="1" x14ac:dyDescent="0.25">
      <c r="A79" s="102">
        <f>IF(UC_DADOS!$B$2=0,"",UC_DADOS!$B$2)</f>
        <v>7041435180</v>
      </c>
      <c r="B79" s="107"/>
      <c r="C79" s="67"/>
      <c r="D79" s="70"/>
      <c r="E79" s="70"/>
      <c r="F79" s="70"/>
      <c r="G79" s="70"/>
      <c r="H79" s="70"/>
      <c r="I79" s="293">
        <f t="shared" si="1"/>
        <v>0</v>
      </c>
      <c r="J79" s="70"/>
      <c r="K79" s="67"/>
      <c r="L79" s="70"/>
      <c r="M79" s="70"/>
      <c r="N79" s="70"/>
      <c r="O79" s="70"/>
      <c r="P79" s="112"/>
      <c r="Q79" s="70"/>
      <c r="R79" s="70"/>
      <c r="S79" s="70"/>
      <c r="T79" s="70"/>
      <c r="U79" s="70"/>
      <c r="V79" s="70"/>
      <c r="W79" s="70"/>
      <c r="X79" s="70"/>
      <c r="Y79" s="70"/>
      <c r="Z79" s="108"/>
      <c r="AA79" s="67"/>
      <c r="AB79" s="70"/>
      <c r="AC79" s="70"/>
      <c r="AD79" s="71"/>
      <c r="AE79" s="73"/>
      <c r="AF79" s="108"/>
    </row>
    <row r="80" spans="1:32" s="66" customFormat="1" ht="15" customHeight="1" x14ac:dyDescent="0.25">
      <c r="A80" s="102">
        <f>IF(UC_DADOS!$B$2=0,"",UC_DADOS!$B$2)</f>
        <v>7041435180</v>
      </c>
      <c r="B80" s="107"/>
      <c r="C80" s="67"/>
      <c r="D80" s="70"/>
      <c r="E80" s="70"/>
      <c r="F80" s="70"/>
      <c r="G80" s="70"/>
      <c r="H80" s="70"/>
      <c r="I80" s="293">
        <f t="shared" si="1"/>
        <v>0</v>
      </c>
      <c r="J80" s="70"/>
      <c r="K80" s="67"/>
      <c r="L80" s="70"/>
      <c r="M80" s="70"/>
      <c r="N80" s="70"/>
      <c r="O80" s="70"/>
      <c r="P80" s="112"/>
      <c r="Q80" s="70"/>
      <c r="R80" s="70"/>
      <c r="S80" s="70"/>
      <c r="T80" s="70"/>
      <c r="U80" s="70"/>
      <c r="V80" s="70"/>
      <c r="W80" s="70"/>
      <c r="X80" s="70"/>
      <c r="Y80" s="70"/>
      <c r="Z80" s="108"/>
      <c r="AA80" s="67"/>
      <c r="AB80" s="70"/>
      <c r="AC80" s="70"/>
      <c r="AD80" s="71"/>
      <c r="AE80" s="73"/>
      <c r="AF80" s="108"/>
    </row>
    <row r="81" spans="1:32" s="66" customFormat="1" ht="15" customHeight="1" x14ac:dyDescent="0.25">
      <c r="A81" s="102">
        <f>IF(UC_DADOS!$B$2=0,"",UC_DADOS!$B$2)</f>
        <v>7041435180</v>
      </c>
      <c r="B81" s="107"/>
      <c r="C81" s="67"/>
      <c r="D81" s="70"/>
      <c r="E81" s="70"/>
      <c r="F81" s="70"/>
      <c r="G81" s="70"/>
      <c r="H81" s="70"/>
      <c r="I81" s="293">
        <f t="shared" si="1"/>
        <v>0</v>
      </c>
      <c r="J81" s="70"/>
      <c r="K81" s="67"/>
      <c r="L81" s="70"/>
      <c r="M81" s="70"/>
      <c r="N81" s="70"/>
      <c r="O81" s="70"/>
      <c r="P81" s="112"/>
      <c r="Q81" s="70"/>
      <c r="R81" s="70"/>
      <c r="S81" s="70"/>
      <c r="T81" s="70"/>
      <c r="U81" s="70"/>
      <c r="V81" s="70"/>
      <c r="W81" s="70"/>
      <c r="X81" s="70"/>
      <c r="Y81" s="70"/>
      <c r="Z81" s="108"/>
      <c r="AA81" s="67"/>
      <c r="AB81" s="70"/>
      <c r="AC81" s="70"/>
      <c r="AD81" s="71"/>
      <c r="AE81" s="73"/>
      <c r="AF81" s="108"/>
    </row>
    <row r="82" spans="1:32" s="66" customFormat="1" ht="15" customHeight="1" x14ac:dyDescent="0.25">
      <c r="A82" s="102">
        <f>IF(UC_DADOS!$B$2=0,"",UC_DADOS!$B$2)</f>
        <v>7041435180</v>
      </c>
      <c r="B82" s="107"/>
      <c r="C82" s="67"/>
      <c r="D82" s="70"/>
      <c r="E82" s="70"/>
      <c r="F82" s="70"/>
      <c r="G82" s="70"/>
      <c r="H82" s="70"/>
      <c r="I82" s="293">
        <f t="shared" si="1"/>
        <v>0</v>
      </c>
      <c r="J82" s="70"/>
      <c r="K82" s="67"/>
      <c r="L82" s="70"/>
      <c r="M82" s="70"/>
      <c r="N82" s="70"/>
      <c r="O82" s="70"/>
      <c r="P82" s="112"/>
      <c r="Q82" s="70"/>
      <c r="R82" s="70"/>
      <c r="S82" s="70"/>
      <c r="T82" s="70"/>
      <c r="U82" s="70"/>
      <c r="V82" s="70"/>
      <c r="W82" s="70"/>
      <c r="X82" s="70"/>
      <c r="Y82" s="70"/>
      <c r="Z82" s="108"/>
      <c r="AA82" s="67"/>
      <c r="AB82" s="70"/>
      <c r="AC82" s="70"/>
      <c r="AD82" s="71"/>
      <c r="AE82" s="73"/>
      <c r="AF82" s="108"/>
    </row>
    <row r="83" spans="1:32" s="66" customFormat="1" ht="15" customHeight="1" x14ac:dyDescent="0.25">
      <c r="A83" s="102">
        <f>IF(UC_DADOS!$B$2=0,"",UC_DADOS!$B$2)</f>
        <v>7041435180</v>
      </c>
      <c r="B83" s="107"/>
      <c r="C83" s="67"/>
      <c r="D83" s="70"/>
      <c r="E83" s="70"/>
      <c r="F83" s="70"/>
      <c r="G83" s="70"/>
      <c r="H83" s="70"/>
      <c r="I83" s="293">
        <f t="shared" si="1"/>
        <v>0</v>
      </c>
      <c r="J83" s="70"/>
      <c r="K83" s="67"/>
      <c r="L83" s="70"/>
      <c r="M83" s="70"/>
      <c r="N83" s="70"/>
      <c r="O83" s="70"/>
      <c r="P83" s="112"/>
      <c r="Q83" s="70"/>
      <c r="R83" s="70"/>
      <c r="S83" s="70"/>
      <c r="T83" s="70"/>
      <c r="U83" s="70"/>
      <c r="V83" s="70"/>
      <c r="W83" s="70"/>
      <c r="X83" s="70"/>
      <c r="Y83" s="70"/>
      <c r="Z83" s="108"/>
      <c r="AA83" s="67"/>
      <c r="AB83" s="70"/>
      <c r="AC83" s="70"/>
      <c r="AD83" s="71"/>
      <c r="AE83" s="73"/>
      <c r="AF83" s="108"/>
    </row>
    <row r="84" spans="1:32" s="66" customFormat="1" ht="15" customHeight="1" x14ac:dyDescent="0.25">
      <c r="A84" s="102">
        <f>IF(UC_DADOS!$B$2=0,"",UC_DADOS!$B$2)</f>
        <v>7041435180</v>
      </c>
      <c r="B84" s="107"/>
      <c r="C84" s="67"/>
      <c r="D84" s="70"/>
      <c r="E84" s="70"/>
      <c r="F84" s="70"/>
      <c r="G84" s="70"/>
      <c r="H84" s="70"/>
      <c r="I84" s="293">
        <f t="shared" si="1"/>
        <v>0</v>
      </c>
      <c r="J84" s="70"/>
      <c r="K84" s="67"/>
      <c r="L84" s="70"/>
      <c r="M84" s="70"/>
      <c r="N84" s="70"/>
      <c r="O84" s="70"/>
      <c r="P84" s="112"/>
      <c r="Q84" s="70"/>
      <c r="R84" s="70"/>
      <c r="S84" s="70"/>
      <c r="T84" s="70"/>
      <c r="U84" s="70"/>
      <c r="V84" s="70"/>
      <c r="W84" s="70"/>
      <c r="X84" s="70"/>
      <c r="Y84" s="70"/>
      <c r="Z84" s="108"/>
      <c r="AA84" s="67"/>
      <c r="AB84" s="70"/>
      <c r="AC84" s="70"/>
      <c r="AD84" s="71"/>
      <c r="AE84" s="73"/>
      <c r="AF84" s="108"/>
    </row>
    <row r="85" spans="1:32" s="66" customFormat="1" ht="15" customHeight="1" x14ac:dyDescent="0.25">
      <c r="A85" s="102">
        <f>IF(UC_DADOS!$B$2=0,"",UC_DADOS!$B$2)</f>
        <v>7041435180</v>
      </c>
      <c r="B85" s="107"/>
      <c r="C85" s="67"/>
      <c r="D85" s="70"/>
      <c r="E85" s="70"/>
      <c r="F85" s="70"/>
      <c r="G85" s="70"/>
      <c r="H85" s="70"/>
      <c r="I85" s="293">
        <f t="shared" si="1"/>
        <v>0</v>
      </c>
      <c r="J85" s="70"/>
      <c r="K85" s="67"/>
      <c r="L85" s="70"/>
      <c r="M85" s="70"/>
      <c r="N85" s="70"/>
      <c r="O85" s="70"/>
      <c r="P85" s="112"/>
      <c r="Q85" s="70"/>
      <c r="R85" s="70"/>
      <c r="S85" s="70"/>
      <c r="T85" s="70"/>
      <c r="U85" s="70"/>
      <c r="V85" s="70"/>
      <c r="W85" s="70"/>
      <c r="X85" s="70"/>
      <c r="Y85" s="70"/>
      <c r="Z85" s="108"/>
      <c r="AA85" s="67"/>
      <c r="AB85" s="70"/>
      <c r="AC85" s="70"/>
      <c r="AD85" s="71"/>
      <c r="AE85" s="73"/>
      <c r="AF85" s="108"/>
    </row>
    <row r="86" spans="1:32" s="66" customFormat="1" ht="15" customHeight="1" x14ac:dyDescent="0.25">
      <c r="A86" s="102">
        <f>IF(UC_DADOS!$B$2=0,"",UC_DADOS!$B$2)</f>
        <v>7041435180</v>
      </c>
      <c r="B86" s="107"/>
      <c r="C86" s="67"/>
      <c r="D86" s="70"/>
      <c r="E86" s="70"/>
      <c r="F86" s="70"/>
      <c r="G86" s="70"/>
      <c r="H86" s="70"/>
      <c r="I86" s="293">
        <f t="shared" si="1"/>
        <v>0</v>
      </c>
      <c r="J86" s="70"/>
      <c r="K86" s="67"/>
      <c r="L86" s="70"/>
      <c r="M86" s="70"/>
      <c r="N86" s="70"/>
      <c r="O86" s="70"/>
      <c r="P86" s="112"/>
      <c r="Q86" s="70"/>
      <c r="R86" s="70"/>
      <c r="S86" s="70"/>
      <c r="T86" s="70"/>
      <c r="U86" s="70"/>
      <c r="V86" s="70"/>
      <c r="W86" s="70"/>
      <c r="X86" s="70"/>
      <c r="Y86" s="70"/>
      <c r="Z86" s="108"/>
      <c r="AA86" s="67"/>
      <c r="AB86" s="70"/>
      <c r="AC86" s="70"/>
      <c r="AD86" s="71"/>
      <c r="AE86" s="73"/>
      <c r="AF86" s="108"/>
    </row>
    <row r="87" spans="1:32" s="66" customFormat="1" ht="15" customHeight="1" x14ac:dyDescent="0.25">
      <c r="A87" s="102">
        <f>IF(UC_DADOS!$B$2=0,"",UC_DADOS!$B$2)</f>
        <v>7041435180</v>
      </c>
      <c r="B87" s="107"/>
      <c r="C87" s="67"/>
      <c r="D87" s="70"/>
      <c r="E87" s="70"/>
      <c r="F87" s="70"/>
      <c r="G87" s="70"/>
      <c r="H87" s="70"/>
      <c r="I87" s="293">
        <f t="shared" si="1"/>
        <v>0</v>
      </c>
      <c r="J87" s="70"/>
      <c r="K87" s="67"/>
      <c r="L87" s="70"/>
      <c r="M87" s="70"/>
      <c r="N87" s="70"/>
      <c r="O87" s="70"/>
      <c r="P87" s="112"/>
      <c r="Q87" s="70"/>
      <c r="R87" s="70"/>
      <c r="S87" s="70"/>
      <c r="T87" s="70"/>
      <c r="U87" s="70"/>
      <c r="V87" s="70"/>
      <c r="W87" s="70"/>
      <c r="X87" s="70"/>
      <c r="Y87" s="70"/>
      <c r="Z87" s="108"/>
      <c r="AA87" s="67"/>
      <c r="AB87" s="70"/>
      <c r="AC87" s="70"/>
      <c r="AD87" s="71"/>
      <c r="AE87" s="73"/>
      <c r="AF87" s="108"/>
    </row>
    <row r="88" spans="1:32" s="66" customFormat="1" ht="15" customHeight="1" x14ac:dyDescent="0.25">
      <c r="A88" s="102">
        <f>IF(UC_DADOS!$B$2=0,"",UC_DADOS!$B$2)</f>
        <v>7041435180</v>
      </c>
      <c r="B88" s="107"/>
      <c r="C88" s="67"/>
      <c r="D88" s="70"/>
      <c r="E88" s="70"/>
      <c r="F88" s="70"/>
      <c r="G88" s="70"/>
      <c r="H88" s="70"/>
      <c r="I88" s="293">
        <f t="shared" si="1"/>
        <v>0</v>
      </c>
      <c r="J88" s="70"/>
      <c r="K88" s="67"/>
      <c r="L88" s="70"/>
      <c r="M88" s="70"/>
      <c r="N88" s="70"/>
      <c r="O88" s="70"/>
      <c r="P88" s="112"/>
      <c r="Q88" s="70"/>
      <c r="R88" s="70"/>
      <c r="S88" s="70"/>
      <c r="T88" s="70"/>
      <c r="U88" s="70"/>
      <c r="V88" s="70"/>
      <c r="W88" s="70"/>
      <c r="X88" s="70"/>
      <c r="Y88" s="70"/>
      <c r="Z88" s="108"/>
      <c r="AA88" s="67"/>
      <c r="AB88" s="70"/>
      <c r="AC88" s="70"/>
      <c r="AD88" s="71"/>
      <c r="AE88" s="73"/>
      <c r="AF88" s="108"/>
    </row>
    <row r="89" spans="1:32" s="66" customFormat="1" ht="15" customHeight="1" x14ac:dyDescent="0.25">
      <c r="A89" s="102">
        <f>IF(UC_DADOS!$B$2=0,"",UC_DADOS!$B$2)</f>
        <v>7041435180</v>
      </c>
      <c r="B89" s="107"/>
      <c r="C89" s="67"/>
      <c r="D89" s="70"/>
      <c r="E89" s="70"/>
      <c r="F89" s="70"/>
      <c r="G89" s="70"/>
      <c r="H89" s="70"/>
      <c r="I89" s="293">
        <f t="shared" si="1"/>
        <v>0</v>
      </c>
      <c r="J89" s="70"/>
      <c r="K89" s="67"/>
      <c r="L89" s="70"/>
      <c r="M89" s="70"/>
      <c r="N89" s="70"/>
      <c r="O89" s="70"/>
      <c r="P89" s="112"/>
      <c r="Q89" s="70"/>
      <c r="R89" s="70"/>
      <c r="S89" s="70"/>
      <c r="T89" s="70"/>
      <c r="U89" s="70"/>
      <c r="V89" s="70"/>
      <c r="W89" s="70"/>
      <c r="X89" s="70"/>
      <c r="Y89" s="70"/>
      <c r="Z89" s="108"/>
      <c r="AA89" s="67"/>
      <c r="AB89" s="70"/>
      <c r="AC89" s="70"/>
      <c r="AD89" s="71"/>
      <c r="AE89" s="73"/>
      <c r="AF89" s="108"/>
    </row>
    <row r="90" spans="1:32" s="66" customFormat="1" ht="15" customHeight="1" x14ac:dyDescent="0.25">
      <c r="A90" s="102">
        <f>IF(UC_DADOS!$B$2=0,"",UC_DADOS!$B$2)</f>
        <v>7041435180</v>
      </c>
      <c r="B90" s="107"/>
      <c r="C90" s="67"/>
      <c r="D90" s="70"/>
      <c r="E90" s="70"/>
      <c r="F90" s="70"/>
      <c r="G90" s="70"/>
      <c r="H90" s="70"/>
      <c r="I90" s="293">
        <f t="shared" si="1"/>
        <v>0</v>
      </c>
      <c r="J90" s="70"/>
      <c r="K90" s="67"/>
      <c r="L90" s="70"/>
      <c r="M90" s="70"/>
      <c r="N90" s="70"/>
      <c r="O90" s="70"/>
      <c r="P90" s="112"/>
      <c r="Q90" s="70"/>
      <c r="R90" s="70"/>
      <c r="S90" s="70"/>
      <c r="T90" s="70"/>
      <c r="U90" s="70"/>
      <c r="V90" s="70"/>
      <c r="W90" s="70"/>
      <c r="X90" s="70"/>
      <c r="Y90" s="70"/>
      <c r="Z90" s="108"/>
      <c r="AA90" s="67"/>
      <c r="AB90" s="70"/>
      <c r="AC90" s="70"/>
      <c r="AD90" s="71"/>
      <c r="AE90" s="73"/>
      <c r="AF90" s="108"/>
    </row>
    <row r="91" spans="1:32" s="66" customFormat="1" ht="15" customHeight="1" x14ac:dyDescent="0.25">
      <c r="A91" s="102">
        <f>IF(UC_DADOS!$B$2=0,"",UC_DADOS!$B$2)</f>
        <v>7041435180</v>
      </c>
      <c r="B91" s="107"/>
      <c r="C91" s="67"/>
      <c r="D91" s="70"/>
      <c r="E91" s="70"/>
      <c r="F91" s="70"/>
      <c r="G91" s="70"/>
      <c r="H91" s="70"/>
      <c r="I91" s="293">
        <f t="shared" si="1"/>
        <v>0</v>
      </c>
      <c r="J91" s="70"/>
      <c r="K91" s="67"/>
      <c r="L91" s="70"/>
      <c r="M91" s="70"/>
      <c r="N91" s="70"/>
      <c r="O91" s="70"/>
      <c r="P91" s="112"/>
      <c r="Q91" s="70"/>
      <c r="R91" s="70"/>
      <c r="S91" s="70"/>
      <c r="T91" s="70"/>
      <c r="U91" s="70"/>
      <c r="V91" s="70"/>
      <c r="W91" s="70"/>
      <c r="X91" s="70"/>
      <c r="Y91" s="70"/>
      <c r="Z91" s="108"/>
      <c r="AA91" s="67"/>
      <c r="AB91" s="70"/>
      <c r="AC91" s="70"/>
      <c r="AD91" s="71"/>
      <c r="AE91" s="73"/>
      <c r="AF91" s="108"/>
    </row>
    <row r="92" spans="1:32" s="66" customFormat="1" ht="15" customHeight="1" x14ac:dyDescent="0.25">
      <c r="A92" s="102">
        <f>IF(UC_DADOS!$B$2=0,"",UC_DADOS!$B$2)</f>
        <v>7041435180</v>
      </c>
      <c r="B92" s="107"/>
      <c r="C92" s="67"/>
      <c r="D92" s="70"/>
      <c r="E92" s="70"/>
      <c r="F92" s="70"/>
      <c r="G92" s="70"/>
      <c r="H92" s="70"/>
      <c r="I92" s="293">
        <f t="shared" si="1"/>
        <v>0</v>
      </c>
      <c r="J92" s="70"/>
      <c r="K92" s="67"/>
      <c r="L92" s="70"/>
      <c r="M92" s="70"/>
      <c r="N92" s="70"/>
      <c r="O92" s="70"/>
      <c r="P92" s="112"/>
      <c r="Q92" s="70"/>
      <c r="R92" s="70"/>
      <c r="S92" s="70"/>
      <c r="T92" s="70"/>
      <c r="U92" s="70"/>
      <c r="V92" s="70"/>
      <c r="W92" s="70"/>
      <c r="X92" s="70"/>
      <c r="Y92" s="70"/>
      <c r="Z92" s="108"/>
      <c r="AA92" s="67"/>
      <c r="AB92" s="70"/>
      <c r="AC92" s="70"/>
      <c r="AD92" s="71"/>
      <c r="AE92" s="73"/>
      <c r="AF92" s="108"/>
    </row>
    <row r="93" spans="1:32" s="66" customFormat="1" ht="15" customHeight="1" x14ac:dyDescent="0.25">
      <c r="A93" s="102">
        <f>IF(UC_DADOS!$B$2=0,"",UC_DADOS!$B$2)</f>
        <v>7041435180</v>
      </c>
      <c r="B93" s="107"/>
      <c r="C93" s="67"/>
      <c r="D93" s="70"/>
      <c r="E93" s="70"/>
      <c r="F93" s="70"/>
      <c r="G93" s="70"/>
      <c r="H93" s="70"/>
      <c r="I93" s="293">
        <f t="shared" si="1"/>
        <v>0</v>
      </c>
      <c r="J93" s="70"/>
      <c r="K93" s="67"/>
      <c r="L93" s="70"/>
      <c r="M93" s="70"/>
      <c r="N93" s="70"/>
      <c r="O93" s="70"/>
      <c r="P93" s="112"/>
      <c r="Q93" s="70"/>
      <c r="R93" s="70"/>
      <c r="S93" s="70"/>
      <c r="T93" s="70"/>
      <c r="U93" s="70"/>
      <c r="V93" s="70"/>
      <c r="W93" s="70"/>
      <c r="X93" s="70"/>
      <c r="Y93" s="70"/>
      <c r="Z93" s="108"/>
      <c r="AA93" s="67"/>
      <c r="AB93" s="70"/>
      <c r="AC93" s="70"/>
      <c r="AD93" s="71"/>
      <c r="AE93" s="73"/>
      <c r="AF93" s="108"/>
    </row>
    <row r="94" spans="1:32" s="66" customFormat="1" ht="15" customHeight="1" x14ac:dyDescent="0.25">
      <c r="A94" s="102">
        <f>IF(UC_DADOS!$B$2=0,"",UC_DADOS!$B$2)</f>
        <v>7041435180</v>
      </c>
      <c r="B94" s="107"/>
      <c r="C94" s="67"/>
      <c r="D94" s="70"/>
      <c r="E94" s="70"/>
      <c r="F94" s="70"/>
      <c r="G94" s="70"/>
      <c r="H94" s="70"/>
      <c r="I94" s="293">
        <f t="shared" si="1"/>
        <v>0</v>
      </c>
      <c r="J94" s="70"/>
      <c r="K94" s="67"/>
      <c r="L94" s="70"/>
      <c r="M94" s="70"/>
      <c r="N94" s="70"/>
      <c r="O94" s="70"/>
      <c r="P94" s="112"/>
      <c r="Q94" s="70"/>
      <c r="R94" s="70"/>
      <c r="S94" s="70"/>
      <c r="T94" s="70"/>
      <c r="U94" s="70"/>
      <c r="V94" s="70"/>
      <c r="W94" s="70"/>
      <c r="X94" s="70"/>
      <c r="Y94" s="70"/>
      <c r="Z94" s="108"/>
      <c r="AA94" s="67"/>
      <c r="AB94" s="70"/>
      <c r="AC94" s="70"/>
      <c r="AD94" s="71"/>
      <c r="AE94" s="73"/>
      <c r="AF94" s="108"/>
    </row>
    <row r="95" spans="1:32" s="66" customFormat="1" ht="15" customHeight="1" x14ac:dyDescent="0.25">
      <c r="A95" s="102">
        <f>IF(UC_DADOS!$B$2=0,"",UC_DADOS!$B$2)</f>
        <v>7041435180</v>
      </c>
      <c r="B95" s="107"/>
      <c r="C95" s="67"/>
      <c r="D95" s="70"/>
      <c r="E95" s="70"/>
      <c r="F95" s="70"/>
      <c r="G95" s="70"/>
      <c r="H95" s="70"/>
      <c r="I95" s="293">
        <f t="shared" si="1"/>
        <v>0</v>
      </c>
      <c r="J95" s="70"/>
      <c r="K95" s="67"/>
      <c r="L95" s="70"/>
      <c r="M95" s="70"/>
      <c r="N95" s="70"/>
      <c r="O95" s="70"/>
      <c r="P95" s="112"/>
      <c r="Q95" s="70"/>
      <c r="R95" s="70"/>
      <c r="S95" s="70"/>
      <c r="T95" s="70"/>
      <c r="U95" s="70"/>
      <c r="V95" s="70"/>
      <c r="W95" s="70"/>
      <c r="X95" s="70"/>
      <c r="Y95" s="70"/>
      <c r="Z95" s="108"/>
      <c r="AA95" s="67"/>
      <c r="AB95" s="70"/>
      <c r="AC95" s="70"/>
      <c r="AD95" s="71"/>
      <c r="AE95" s="73"/>
      <c r="AF95" s="108"/>
    </row>
    <row r="96" spans="1:32" s="66" customFormat="1" ht="15" customHeight="1" x14ac:dyDescent="0.25">
      <c r="A96" s="102">
        <f>IF(UC_DADOS!$B$2=0,"",UC_DADOS!$B$2)</f>
        <v>7041435180</v>
      </c>
      <c r="B96" s="107"/>
      <c r="C96" s="67"/>
      <c r="D96" s="70"/>
      <c r="E96" s="70"/>
      <c r="F96" s="70"/>
      <c r="G96" s="70"/>
      <c r="H96" s="70"/>
      <c r="I96" s="293">
        <f t="shared" si="1"/>
        <v>0</v>
      </c>
      <c r="J96" s="70"/>
      <c r="K96" s="67"/>
      <c r="L96" s="70"/>
      <c r="M96" s="70"/>
      <c r="N96" s="70"/>
      <c r="O96" s="70"/>
      <c r="P96" s="112"/>
      <c r="Q96" s="70"/>
      <c r="R96" s="70"/>
      <c r="S96" s="70"/>
      <c r="T96" s="70"/>
      <c r="U96" s="70"/>
      <c r="V96" s="70"/>
      <c r="W96" s="70"/>
      <c r="X96" s="70"/>
      <c r="Y96" s="70"/>
      <c r="Z96" s="108"/>
      <c r="AA96" s="67"/>
      <c r="AB96" s="70"/>
      <c r="AC96" s="70"/>
      <c r="AD96" s="71"/>
      <c r="AE96" s="73"/>
      <c r="AF96" s="108"/>
    </row>
    <row r="97" spans="1:32" s="66" customFormat="1" ht="15" customHeight="1" x14ac:dyDescent="0.25">
      <c r="A97" s="102">
        <f>IF(UC_DADOS!$B$2=0,"",UC_DADOS!$B$2)</f>
        <v>7041435180</v>
      </c>
      <c r="B97" s="107"/>
      <c r="C97" s="67"/>
      <c r="D97" s="70"/>
      <c r="E97" s="70"/>
      <c r="F97" s="70"/>
      <c r="G97" s="70"/>
      <c r="H97" s="70"/>
      <c r="I97" s="293">
        <f t="shared" si="1"/>
        <v>0</v>
      </c>
      <c r="J97" s="70"/>
      <c r="K97" s="67"/>
      <c r="L97" s="70"/>
      <c r="M97" s="70"/>
      <c r="N97" s="70"/>
      <c r="O97" s="70"/>
      <c r="P97" s="112"/>
      <c r="Q97" s="70"/>
      <c r="R97" s="70"/>
      <c r="S97" s="70"/>
      <c r="T97" s="70"/>
      <c r="U97" s="70"/>
      <c r="V97" s="70"/>
      <c r="W97" s="70"/>
      <c r="X97" s="70"/>
      <c r="Y97" s="70"/>
      <c r="Z97" s="108"/>
      <c r="AA97" s="67"/>
      <c r="AB97" s="70"/>
      <c r="AC97" s="70"/>
      <c r="AD97" s="71"/>
      <c r="AE97" s="73"/>
      <c r="AF97" s="108"/>
    </row>
    <row r="98" spans="1:32" s="66" customFormat="1" ht="15" customHeight="1" x14ac:dyDescent="0.25">
      <c r="A98" s="102">
        <f>IF(UC_DADOS!$B$2=0,"",UC_DADOS!$B$2)</f>
        <v>7041435180</v>
      </c>
      <c r="B98" s="107"/>
      <c r="C98" s="67"/>
      <c r="D98" s="70"/>
      <c r="E98" s="70"/>
      <c r="F98" s="70"/>
      <c r="G98" s="70"/>
      <c r="H98" s="70"/>
      <c r="I98" s="293">
        <f t="shared" si="1"/>
        <v>0</v>
      </c>
      <c r="J98" s="70"/>
      <c r="K98" s="67"/>
      <c r="L98" s="70"/>
      <c r="M98" s="70"/>
      <c r="N98" s="70"/>
      <c r="O98" s="70"/>
      <c r="P98" s="112"/>
      <c r="Q98" s="70"/>
      <c r="R98" s="70"/>
      <c r="S98" s="70"/>
      <c r="T98" s="70"/>
      <c r="U98" s="70"/>
      <c r="V98" s="70"/>
      <c r="W98" s="70"/>
      <c r="X98" s="70"/>
      <c r="Y98" s="70"/>
      <c r="Z98" s="108"/>
      <c r="AA98" s="67"/>
      <c r="AB98" s="70"/>
      <c r="AC98" s="70"/>
      <c r="AD98" s="71"/>
      <c r="AE98" s="73"/>
      <c r="AF98" s="108"/>
    </row>
    <row r="99" spans="1:32" s="66" customFormat="1" ht="15" customHeight="1" x14ac:dyDescent="0.25">
      <c r="A99" s="102">
        <f>IF(UC_DADOS!$B$2=0,"",UC_DADOS!$B$2)</f>
        <v>7041435180</v>
      </c>
      <c r="B99" s="107"/>
      <c r="C99" s="67"/>
      <c r="D99" s="70"/>
      <c r="E99" s="70"/>
      <c r="F99" s="70"/>
      <c r="G99" s="70"/>
      <c r="H99" s="70"/>
      <c r="I99" s="293">
        <f t="shared" si="1"/>
        <v>0</v>
      </c>
      <c r="J99" s="70"/>
      <c r="K99" s="67"/>
      <c r="L99" s="70"/>
      <c r="M99" s="70"/>
      <c r="N99" s="70"/>
      <c r="O99" s="70"/>
      <c r="P99" s="112"/>
      <c r="Q99" s="70"/>
      <c r="R99" s="70"/>
      <c r="S99" s="70"/>
      <c r="T99" s="70"/>
      <c r="U99" s="70"/>
      <c r="V99" s="70"/>
      <c r="W99" s="70"/>
      <c r="X99" s="70"/>
      <c r="Y99" s="70"/>
      <c r="Z99" s="108"/>
      <c r="AA99" s="67"/>
      <c r="AB99" s="70"/>
      <c r="AC99" s="70"/>
      <c r="AD99" s="71"/>
      <c r="AE99" s="73"/>
      <c r="AF99" s="108"/>
    </row>
    <row r="100" spans="1:32" s="66" customFormat="1" ht="15" customHeight="1" x14ac:dyDescent="0.25">
      <c r="A100" s="102">
        <f>IF(UC_DADOS!$B$2=0,"",UC_DADOS!$B$2)</f>
        <v>7041435180</v>
      </c>
      <c r="B100" s="107"/>
      <c r="C100" s="67"/>
      <c r="D100" s="70"/>
      <c r="E100" s="70"/>
      <c r="F100" s="70"/>
      <c r="G100" s="70"/>
      <c r="H100" s="70"/>
      <c r="I100" s="293">
        <f t="shared" si="1"/>
        <v>0</v>
      </c>
      <c r="J100" s="70"/>
      <c r="K100" s="67"/>
      <c r="L100" s="70"/>
      <c r="M100" s="70"/>
      <c r="N100" s="70"/>
      <c r="O100" s="70"/>
      <c r="P100" s="112"/>
      <c r="Q100" s="70"/>
      <c r="R100" s="70"/>
      <c r="S100" s="70"/>
      <c r="T100" s="70"/>
      <c r="U100" s="70"/>
      <c r="V100" s="70"/>
      <c r="W100" s="70"/>
      <c r="X100" s="70"/>
      <c r="Y100" s="70"/>
      <c r="Z100" s="108"/>
      <c r="AA100" s="67"/>
      <c r="AB100" s="70"/>
      <c r="AC100" s="70"/>
      <c r="AD100" s="71"/>
      <c r="AE100" s="73"/>
      <c r="AF100" s="108"/>
    </row>
  </sheetData>
  <mergeCells count="6">
    <mergeCell ref="A1:B1"/>
    <mergeCell ref="AD1:AF1"/>
    <mergeCell ref="K1:P1"/>
    <mergeCell ref="AA1:AC1"/>
    <mergeCell ref="C1:J1"/>
    <mergeCell ref="Q1:Z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zoomScale="90" zoomScaleNormal="90" workbookViewId="0">
      <selection activeCell="C9" sqref="C9"/>
    </sheetView>
  </sheetViews>
  <sheetFormatPr defaultColWidth="8.85546875" defaultRowHeight="15" x14ac:dyDescent="0.25"/>
  <cols>
    <col min="1" max="1" width="19" style="55" customWidth="1"/>
    <col min="2" max="2" width="26.5703125" style="55" customWidth="1"/>
    <col min="3" max="12" width="20.42578125" style="55" customWidth="1"/>
    <col min="13" max="18" width="18.42578125" style="55" customWidth="1"/>
    <col min="19" max="19" width="8.85546875" style="55" customWidth="1"/>
    <col min="20" max="16384" width="8.85546875" style="55"/>
  </cols>
  <sheetData>
    <row r="1" spans="1:18" ht="22.5" customHeight="1" x14ac:dyDescent="0.25">
      <c r="A1" s="429" t="s">
        <v>649</v>
      </c>
      <c r="B1" s="396"/>
      <c r="C1" s="428" t="s">
        <v>604</v>
      </c>
      <c r="D1" s="426"/>
      <c r="E1" s="426"/>
      <c r="F1" s="426"/>
      <c r="G1" s="426"/>
      <c r="H1" s="426"/>
      <c r="I1" s="426"/>
      <c r="J1" s="426"/>
      <c r="K1" s="426"/>
      <c r="L1" s="426"/>
      <c r="M1" s="432" t="s">
        <v>605</v>
      </c>
      <c r="N1" s="393"/>
      <c r="O1" s="393"/>
      <c r="P1" s="393"/>
      <c r="Q1" s="393"/>
      <c r="R1" s="393"/>
    </row>
    <row r="2" spans="1:18" s="66" customFormat="1" ht="81.75" customHeight="1" x14ac:dyDescent="0.25">
      <c r="A2" s="57" t="s">
        <v>608</v>
      </c>
      <c r="B2" s="58" t="s">
        <v>611</v>
      </c>
      <c r="C2" s="115" t="s">
        <v>612</v>
      </c>
      <c r="D2" s="116" t="s">
        <v>730</v>
      </c>
      <c r="E2" s="62" t="s">
        <v>616</v>
      </c>
      <c r="F2" s="62" t="s">
        <v>731</v>
      </c>
      <c r="G2" s="100" t="s">
        <v>620</v>
      </c>
      <c r="H2" s="100" t="s">
        <v>732</v>
      </c>
      <c r="I2" s="100" t="s">
        <v>621</v>
      </c>
      <c r="J2" s="100" t="s">
        <v>733</v>
      </c>
      <c r="K2" s="100" t="s">
        <v>734</v>
      </c>
      <c r="L2" s="100" t="s">
        <v>735</v>
      </c>
      <c r="M2" s="63" t="s">
        <v>736</v>
      </c>
      <c r="N2" s="117" t="s">
        <v>737</v>
      </c>
      <c r="O2" s="117" t="s">
        <v>738</v>
      </c>
      <c r="P2" s="117" t="s">
        <v>739</v>
      </c>
      <c r="Q2" s="117" t="s">
        <v>740</v>
      </c>
      <c r="R2" s="118" t="s">
        <v>634</v>
      </c>
    </row>
    <row r="3" spans="1:18" s="66" customFormat="1" ht="15" customHeight="1" x14ac:dyDescent="0.25">
      <c r="A3" s="102">
        <f>IF(UC_DADOS!$B$2=0,"",UC_DADOS!$B$2)</f>
        <v>7041435180</v>
      </c>
      <c r="B3" s="106"/>
      <c r="C3" s="119"/>
      <c r="D3" s="68"/>
      <c r="E3" s="68"/>
      <c r="F3" s="69"/>
      <c r="G3" s="70"/>
      <c r="H3" s="68"/>
      <c r="I3" s="68"/>
      <c r="J3" s="68"/>
      <c r="K3" s="68"/>
      <c r="L3" s="120"/>
      <c r="M3" s="121"/>
      <c r="N3" s="122"/>
      <c r="O3" s="123"/>
      <c r="P3" s="123"/>
      <c r="Q3" s="123"/>
      <c r="R3" s="105"/>
    </row>
    <row r="4" spans="1:18" s="66" customFormat="1" ht="15" customHeight="1" x14ac:dyDescent="0.25">
      <c r="A4" s="102">
        <f>IF(UC_DADOS!$B$2=0,"",UC_DADOS!$B$2)</f>
        <v>7041435180</v>
      </c>
      <c r="B4" s="107"/>
      <c r="C4" s="124"/>
      <c r="D4" s="125"/>
      <c r="E4" s="68"/>
      <c r="F4" s="125"/>
      <c r="G4" s="125"/>
      <c r="H4" s="125"/>
      <c r="I4" s="125"/>
      <c r="J4" s="68"/>
      <c r="K4" s="68"/>
      <c r="L4" s="126"/>
      <c r="M4" s="127"/>
      <c r="N4" s="128"/>
      <c r="O4" s="128"/>
      <c r="P4" s="128"/>
      <c r="Q4" s="128"/>
      <c r="R4" s="129"/>
    </row>
    <row r="5" spans="1:18" s="66" customFormat="1" ht="15" customHeight="1" x14ac:dyDescent="0.25">
      <c r="A5" s="102">
        <f>IF(UC_DADOS!$B$2=0,"",UC_DADOS!$B$2)</f>
        <v>7041435180</v>
      </c>
      <c r="B5" s="107"/>
      <c r="C5" s="124"/>
      <c r="D5" s="125"/>
      <c r="E5" s="68"/>
      <c r="F5" s="125"/>
      <c r="G5" s="125"/>
      <c r="H5" s="125"/>
      <c r="I5" s="125"/>
      <c r="J5" s="68"/>
      <c r="K5" s="68"/>
      <c r="L5" s="126"/>
      <c r="M5" s="127"/>
      <c r="N5" s="128"/>
      <c r="O5" s="128"/>
      <c r="P5" s="128"/>
      <c r="Q5" s="128"/>
      <c r="R5" s="129"/>
    </row>
    <row r="6" spans="1:18" s="66" customFormat="1" ht="15" customHeight="1" x14ac:dyDescent="0.25">
      <c r="A6" s="102">
        <f>IF(UC_DADOS!$B$2=0,"",UC_DADOS!$B$2)</f>
        <v>7041435180</v>
      </c>
      <c r="B6" s="107"/>
      <c r="C6" s="124"/>
      <c r="D6" s="125"/>
      <c r="E6" s="68"/>
      <c r="F6" s="125"/>
      <c r="G6" s="125"/>
      <c r="H6" s="125"/>
      <c r="I6" s="125"/>
      <c r="J6" s="68"/>
      <c r="K6" s="68"/>
      <c r="L6" s="126"/>
      <c r="M6" s="127"/>
      <c r="N6" s="128"/>
      <c r="O6" s="128"/>
      <c r="P6" s="128"/>
      <c r="Q6" s="128"/>
      <c r="R6" s="129"/>
    </row>
    <row r="7" spans="1:18" s="66" customFormat="1" ht="15" customHeight="1" x14ac:dyDescent="0.25">
      <c r="A7" s="102">
        <f>IF(UC_DADOS!$B$2=0,"",UC_DADOS!$B$2)</f>
        <v>7041435180</v>
      </c>
      <c r="B7" s="107"/>
      <c r="C7" s="124"/>
      <c r="D7" s="125"/>
      <c r="E7" s="68"/>
      <c r="F7" s="125"/>
      <c r="G7" s="125"/>
      <c r="H7" s="125"/>
      <c r="I7" s="125"/>
      <c r="J7" s="68"/>
      <c r="K7" s="68"/>
      <c r="L7" s="126"/>
      <c r="M7" s="127"/>
      <c r="N7" s="128"/>
      <c r="O7" s="128"/>
      <c r="P7" s="128"/>
      <c r="Q7" s="128"/>
      <c r="R7" s="129"/>
    </row>
    <row r="8" spans="1:18" s="66" customFormat="1" ht="15" customHeight="1" x14ac:dyDescent="0.25">
      <c r="A8" s="102">
        <f>IF(UC_DADOS!$B$2=0,"",UC_DADOS!$B$2)</f>
        <v>7041435180</v>
      </c>
      <c r="B8" s="107"/>
      <c r="C8" s="124"/>
      <c r="D8" s="125"/>
      <c r="E8" s="68"/>
      <c r="F8" s="125"/>
      <c r="G8" s="125"/>
      <c r="H8" s="125"/>
      <c r="I8" s="125"/>
      <c r="J8" s="68"/>
      <c r="K8" s="68"/>
      <c r="L8" s="126"/>
      <c r="M8" s="127"/>
      <c r="N8" s="128"/>
      <c r="O8" s="128"/>
      <c r="P8" s="128"/>
      <c r="Q8" s="128"/>
      <c r="R8" s="129"/>
    </row>
    <row r="9" spans="1:18" s="66" customFormat="1" ht="15" customHeight="1" x14ac:dyDescent="0.25">
      <c r="A9" s="102">
        <f>IF(UC_DADOS!$B$2=0,"",UC_DADOS!$B$2)</f>
        <v>7041435180</v>
      </c>
      <c r="B9" s="107"/>
      <c r="C9" s="124"/>
      <c r="D9" s="125"/>
      <c r="E9" s="68"/>
      <c r="F9" s="125"/>
      <c r="G9" s="125"/>
      <c r="H9" s="125"/>
      <c r="I9" s="125"/>
      <c r="J9" s="68"/>
      <c r="K9" s="68"/>
      <c r="L9" s="126"/>
      <c r="M9" s="127"/>
      <c r="N9" s="128"/>
      <c r="O9" s="128"/>
      <c r="P9" s="128"/>
      <c r="Q9" s="128"/>
      <c r="R9" s="129"/>
    </row>
    <row r="10" spans="1:18" s="66" customFormat="1" ht="15" customHeight="1" x14ac:dyDescent="0.25">
      <c r="A10" s="102">
        <f>IF(UC_DADOS!$B$2=0,"",UC_DADOS!$B$2)</f>
        <v>7041435180</v>
      </c>
      <c r="B10" s="107"/>
      <c r="C10" s="124"/>
      <c r="D10" s="125"/>
      <c r="E10" s="68"/>
      <c r="F10" s="125"/>
      <c r="G10" s="125"/>
      <c r="H10" s="125"/>
      <c r="I10" s="125"/>
      <c r="J10" s="68"/>
      <c r="K10" s="68"/>
      <c r="L10" s="126"/>
      <c r="M10" s="127"/>
      <c r="N10" s="128"/>
      <c r="O10" s="128"/>
      <c r="P10" s="128"/>
      <c r="Q10" s="128"/>
      <c r="R10" s="129"/>
    </row>
    <row r="11" spans="1:18" s="66" customFormat="1" ht="15" customHeight="1" x14ac:dyDescent="0.25">
      <c r="A11" s="102">
        <f>IF(UC_DADOS!$B$2=0,"",UC_DADOS!$B$2)</f>
        <v>7041435180</v>
      </c>
      <c r="B11" s="107"/>
      <c r="C11" s="124"/>
      <c r="D11" s="125"/>
      <c r="E11" s="68"/>
      <c r="F11" s="125"/>
      <c r="G11" s="125"/>
      <c r="H11" s="125"/>
      <c r="I11" s="125"/>
      <c r="J11" s="68"/>
      <c r="K11" s="68"/>
      <c r="L11" s="126"/>
      <c r="M11" s="127"/>
      <c r="N11" s="128"/>
      <c r="O11" s="128"/>
      <c r="P11" s="128"/>
      <c r="Q11" s="128"/>
      <c r="R11" s="129"/>
    </row>
    <row r="12" spans="1:18" s="66" customFormat="1" ht="15" customHeight="1" x14ac:dyDescent="0.25">
      <c r="A12" s="102">
        <f>IF(UC_DADOS!$B$2=0,"",UC_DADOS!$B$2)</f>
        <v>7041435180</v>
      </c>
      <c r="B12" s="107"/>
      <c r="C12" s="124"/>
      <c r="D12" s="125"/>
      <c r="E12" s="68"/>
      <c r="F12" s="125"/>
      <c r="G12" s="125"/>
      <c r="H12" s="125"/>
      <c r="I12" s="125"/>
      <c r="J12" s="68"/>
      <c r="K12" s="68"/>
      <c r="L12" s="126"/>
      <c r="M12" s="127"/>
      <c r="N12" s="128"/>
      <c r="O12" s="128"/>
      <c r="P12" s="128"/>
      <c r="Q12" s="128"/>
      <c r="R12" s="129"/>
    </row>
    <row r="13" spans="1:18" s="66" customFormat="1" ht="15" customHeight="1" x14ac:dyDescent="0.25">
      <c r="A13" s="102">
        <f>IF(UC_DADOS!$B$2=0,"",UC_DADOS!$B$2)</f>
        <v>7041435180</v>
      </c>
      <c r="B13" s="107"/>
      <c r="C13" s="124"/>
      <c r="D13" s="125"/>
      <c r="E13" s="68"/>
      <c r="F13" s="125"/>
      <c r="G13" s="125"/>
      <c r="H13" s="125"/>
      <c r="I13" s="125"/>
      <c r="J13" s="68"/>
      <c r="K13" s="68"/>
      <c r="L13" s="126"/>
      <c r="M13" s="127"/>
      <c r="N13" s="128"/>
      <c r="O13" s="128"/>
      <c r="P13" s="128"/>
      <c r="Q13" s="128"/>
      <c r="R13" s="129"/>
    </row>
    <row r="14" spans="1:18" s="66" customFormat="1" ht="15" customHeight="1" x14ac:dyDescent="0.25">
      <c r="A14" s="102">
        <f>IF(UC_DADOS!$B$2=0,"",UC_DADOS!$B$2)</f>
        <v>7041435180</v>
      </c>
      <c r="B14" s="107"/>
      <c r="C14" s="124"/>
      <c r="D14" s="125"/>
      <c r="E14" s="68"/>
      <c r="F14" s="125"/>
      <c r="G14" s="125"/>
      <c r="H14" s="125"/>
      <c r="I14" s="125"/>
      <c r="J14" s="68"/>
      <c r="K14" s="68"/>
      <c r="L14" s="126"/>
      <c r="M14" s="127"/>
      <c r="N14" s="128"/>
      <c r="O14" s="128"/>
      <c r="P14" s="128"/>
      <c r="Q14" s="128"/>
      <c r="R14" s="129"/>
    </row>
    <row r="15" spans="1:18" s="66" customFormat="1" ht="15" customHeight="1" x14ac:dyDescent="0.25">
      <c r="A15" s="102">
        <f>IF(UC_DADOS!$B$2=0,"",UC_DADOS!$B$2)</f>
        <v>7041435180</v>
      </c>
      <c r="B15" s="107"/>
      <c r="C15" s="124"/>
      <c r="D15" s="125"/>
      <c r="E15" s="68"/>
      <c r="F15" s="125"/>
      <c r="G15" s="125"/>
      <c r="H15" s="125"/>
      <c r="I15" s="125"/>
      <c r="J15" s="68"/>
      <c r="K15" s="68"/>
      <c r="L15" s="126"/>
      <c r="M15" s="127"/>
      <c r="N15" s="128"/>
      <c r="O15" s="128"/>
      <c r="P15" s="128"/>
      <c r="Q15" s="128"/>
      <c r="R15" s="129"/>
    </row>
    <row r="16" spans="1:18" s="66" customFormat="1" ht="15" customHeight="1" x14ac:dyDescent="0.25">
      <c r="A16" s="102">
        <f>IF(UC_DADOS!$B$2=0,"",UC_DADOS!$B$2)</f>
        <v>7041435180</v>
      </c>
      <c r="B16" s="107"/>
      <c r="C16" s="124"/>
      <c r="D16" s="125"/>
      <c r="E16" s="68"/>
      <c r="F16" s="125"/>
      <c r="G16" s="125"/>
      <c r="H16" s="125"/>
      <c r="I16" s="125"/>
      <c r="J16" s="68"/>
      <c r="K16" s="68"/>
      <c r="L16" s="126"/>
      <c r="M16" s="127"/>
      <c r="N16" s="128"/>
      <c r="O16" s="128"/>
      <c r="P16" s="128"/>
      <c r="Q16" s="128"/>
      <c r="R16" s="129"/>
    </row>
    <row r="17" spans="1:18" s="66" customFormat="1" ht="15" customHeight="1" x14ac:dyDescent="0.25">
      <c r="A17" s="102">
        <f>IF(UC_DADOS!$B$2=0,"",UC_DADOS!$B$2)</f>
        <v>7041435180</v>
      </c>
      <c r="B17" s="107"/>
      <c r="C17" s="124"/>
      <c r="D17" s="125"/>
      <c r="E17" s="68"/>
      <c r="F17" s="125"/>
      <c r="G17" s="125"/>
      <c r="H17" s="125"/>
      <c r="I17" s="125"/>
      <c r="J17" s="68"/>
      <c r="K17" s="68"/>
      <c r="L17" s="126"/>
      <c r="M17" s="127"/>
      <c r="N17" s="128"/>
      <c r="O17" s="128"/>
      <c r="P17" s="128"/>
      <c r="Q17" s="128"/>
      <c r="R17" s="129"/>
    </row>
    <row r="18" spans="1:18" s="66" customFormat="1" ht="15" customHeight="1" x14ac:dyDescent="0.25">
      <c r="A18" s="102">
        <f>IF(UC_DADOS!$B$2=0,"",UC_DADOS!$B$2)</f>
        <v>7041435180</v>
      </c>
      <c r="B18" s="107"/>
      <c r="C18" s="124"/>
      <c r="D18" s="125"/>
      <c r="E18" s="68"/>
      <c r="F18" s="125"/>
      <c r="G18" s="125"/>
      <c r="H18" s="125"/>
      <c r="I18" s="125"/>
      <c r="J18" s="68"/>
      <c r="K18" s="68"/>
      <c r="L18" s="126"/>
      <c r="M18" s="127"/>
      <c r="N18" s="128"/>
      <c r="O18" s="128"/>
      <c r="P18" s="128"/>
      <c r="Q18" s="128"/>
      <c r="R18" s="129"/>
    </row>
    <row r="19" spans="1:18" s="66" customFormat="1" ht="15" customHeight="1" x14ac:dyDescent="0.25">
      <c r="A19" s="102">
        <f>IF(UC_DADOS!$B$2=0,"",UC_DADOS!$B$2)</f>
        <v>7041435180</v>
      </c>
      <c r="B19" s="107"/>
      <c r="C19" s="124"/>
      <c r="D19" s="125"/>
      <c r="E19" s="68"/>
      <c r="F19" s="125"/>
      <c r="G19" s="125"/>
      <c r="H19" s="125"/>
      <c r="I19" s="125"/>
      <c r="J19" s="68"/>
      <c r="K19" s="68"/>
      <c r="L19" s="126"/>
      <c r="M19" s="127"/>
      <c r="N19" s="128"/>
      <c r="O19" s="128"/>
      <c r="P19" s="128"/>
      <c r="Q19" s="128"/>
      <c r="R19" s="129"/>
    </row>
    <row r="20" spans="1:18" s="66" customFormat="1" ht="15" customHeight="1" x14ac:dyDescent="0.25">
      <c r="A20" s="102">
        <f>IF(UC_DADOS!$B$2=0,"",UC_DADOS!$B$2)</f>
        <v>7041435180</v>
      </c>
      <c r="B20" s="107"/>
      <c r="C20" s="124"/>
      <c r="D20" s="125"/>
      <c r="E20" s="68"/>
      <c r="F20" s="125"/>
      <c r="G20" s="125"/>
      <c r="H20" s="125"/>
      <c r="I20" s="125"/>
      <c r="J20" s="68"/>
      <c r="K20" s="68"/>
      <c r="L20" s="126"/>
      <c r="M20" s="127"/>
      <c r="N20" s="128"/>
      <c r="O20" s="128"/>
      <c r="P20" s="128"/>
      <c r="Q20" s="128"/>
      <c r="R20" s="129"/>
    </row>
    <row r="21" spans="1:18" s="66" customFormat="1" ht="15" customHeight="1" x14ac:dyDescent="0.25">
      <c r="A21" s="102">
        <f>IF(UC_DADOS!$B$2=0,"",UC_DADOS!$B$2)</f>
        <v>7041435180</v>
      </c>
      <c r="B21" s="107"/>
      <c r="C21" s="124"/>
      <c r="D21" s="125"/>
      <c r="E21" s="68"/>
      <c r="F21" s="125"/>
      <c r="G21" s="125"/>
      <c r="H21" s="125"/>
      <c r="I21" s="125"/>
      <c r="J21" s="68"/>
      <c r="K21" s="68"/>
      <c r="L21" s="126"/>
      <c r="M21" s="127"/>
      <c r="N21" s="128"/>
      <c r="O21" s="128"/>
      <c r="P21" s="128"/>
      <c r="Q21" s="128"/>
      <c r="R21" s="129"/>
    </row>
    <row r="22" spans="1:18" s="66" customFormat="1" ht="15" customHeight="1" x14ac:dyDescent="0.25">
      <c r="A22" s="102">
        <f>IF(UC_DADOS!$B$2=0,"",UC_DADOS!$B$2)</f>
        <v>7041435180</v>
      </c>
      <c r="B22" s="107"/>
      <c r="C22" s="124"/>
      <c r="D22" s="125"/>
      <c r="E22" s="68"/>
      <c r="F22" s="125"/>
      <c r="G22" s="125"/>
      <c r="H22" s="125"/>
      <c r="I22" s="125"/>
      <c r="J22" s="68"/>
      <c r="K22" s="68"/>
      <c r="L22" s="126"/>
      <c r="M22" s="127"/>
      <c r="N22" s="128"/>
      <c r="O22" s="128"/>
      <c r="P22" s="128"/>
      <c r="Q22" s="128"/>
      <c r="R22" s="129"/>
    </row>
    <row r="23" spans="1:18" s="66" customFormat="1" ht="15" customHeight="1" x14ac:dyDescent="0.25">
      <c r="A23" s="102">
        <f>IF(UC_DADOS!$B$2=0,"",UC_DADOS!$B$2)</f>
        <v>7041435180</v>
      </c>
      <c r="B23" s="107"/>
      <c r="C23" s="124"/>
      <c r="D23" s="125"/>
      <c r="E23" s="68"/>
      <c r="F23" s="125"/>
      <c r="G23" s="125"/>
      <c r="H23" s="125"/>
      <c r="I23" s="125"/>
      <c r="J23" s="68"/>
      <c r="K23" s="68"/>
      <c r="L23" s="126"/>
      <c r="M23" s="127"/>
      <c r="N23" s="128"/>
      <c r="O23" s="128"/>
      <c r="P23" s="128"/>
      <c r="Q23" s="128"/>
      <c r="R23" s="129"/>
    </row>
    <row r="24" spans="1:18" s="66" customFormat="1" ht="15" customHeight="1" x14ac:dyDescent="0.25">
      <c r="A24" s="102">
        <f>IF(UC_DADOS!$B$2=0,"",UC_DADOS!$B$2)</f>
        <v>7041435180</v>
      </c>
      <c r="B24" s="107"/>
      <c r="C24" s="124"/>
      <c r="D24" s="125"/>
      <c r="E24" s="68"/>
      <c r="F24" s="125"/>
      <c r="G24" s="125"/>
      <c r="H24" s="125"/>
      <c r="I24" s="125"/>
      <c r="J24" s="68"/>
      <c r="K24" s="68"/>
      <c r="L24" s="126"/>
      <c r="M24" s="127"/>
      <c r="N24" s="128"/>
      <c r="O24" s="128"/>
      <c r="P24" s="128"/>
      <c r="Q24" s="128"/>
      <c r="R24" s="129"/>
    </row>
    <row r="25" spans="1:18" s="66" customFormat="1" ht="15" customHeight="1" x14ac:dyDescent="0.25">
      <c r="A25" s="102">
        <f>IF(UC_DADOS!$B$2=0,"",UC_DADOS!$B$2)</f>
        <v>7041435180</v>
      </c>
      <c r="B25" s="107"/>
      <c r="C25" s="124"/>
      <c r="D25" s="125"/>
      <c r="E25" s="68"/>
      <c r="F25" s="125"/>
      <c r="G25" s="125"/>
      <c r="H25" s="125"/>
      <c r="I25" s="125"/>
      <c r="J25" s="68"/>
      <c r="K25" s="68"/>
      <c r="L25" s="126"/>
      <c r="M25" s="127"/>
      <c r="N25" s="128"/>
      <c r="O25" s="128"/>
      <c r="P25" s="128"/>
      <c r="Q25" s="128"/>
      <c r="R25" s="129"/>
    </row>
    <row r="26" spans="1:18" s="66" customFormat="1" ht="15" customHeight="1" x14ac:dyDescent="0.25">
      <c r="A26" s="102">
        <f>IF(UC_DADOS!$B$2=0,"",UC_DADOS!$B$2)</f>
        <v>7041435180</v>
      </c>
      <c r="B26" s="107"/>
      <c r="C26" s="124"/>
      <c r="D26" s="125"/>
      <c r="E26" s="68"/>
      <c r="F26" s="125"/>
      <c r="G26" s="125"/>
      <c r="H26" s="125"/>
      <c r="I26" s="125"/>
      <c r="J26" s="68"/>
      <c r="K26" s="68"/>
      <c r="L26" s="126"/>
      <c r="M26" s="127"/>
      <c r="N26" s="128"/>
      <c r="O26" s="128"/>
      <c r="P26" s="128"/>
      <c r="Q26" s="128"/>
      <c r="R26" s="129"/>
    </row>
    <row r="27" spans="1:18" s="66" customFormat="1" ht="15" customHeight="1" x14ac:dyDescent="0.25">
      <c r="A27" s="102">
        <f>IF(UC_DADOS!$B$2=0,"",UC_DADOS!$B$2)</f>
        <v>7041435180</v>
      </c>
      <c r="B27" s="107"/>
      <c r="C27" s="124"/>
      <c r="D27" s="125"/>
      <c r="E27" s="68"/>
      <c r="F27" s="125"/>
      <c r="G27" s="125"/>
      <c r="H27" s="125"/>
      <c r="I27" s="125"/>
      <c r="J27" s="68"/>
      <c r="K27" s="68"/>
      <c r="L27" s="126"/>
      <c r="M27" s="127"/>
      <c r="N27" s="128"/>
      <c r="O27" s="128"/>
      <c r="P27" s="128"/>
      <c r="Q27" s="128"/>
      <c r="R27" s="129"/>
    </row>
    <row r="28" spans="1:18" s="66" customFormat="1" ht="15" customHeight="1" x14ac:dyDescent="0.25">
      <c r="A28" s="102">
        <f>IF(UC_DADOS!$B$2=0,"",UC_DADOS!$B$2)</f>
        <v>7041435180</v>
      </c>
      <c r="B28" s="107"/>
      <c r="C28" s="124"/>
      <c r="D28" s="125"/>
      <c r="E28" s="68"/>
      <c r="F28" s="125"/>
      <c r="G28" s="125"/>
      <c r="H28" s="125"/>
      <c r="I28" s="125"/>
      <c r="J28" s="68"/>
      <c r="K28" s="68"/>
      <c r="L28" s="126"/>
      <c r="M28" s="127"/>
      <c r="N28" s="128"/>
      <c r="O28" s="128"/>
      <c r="P28" s="128"/>
      <c r="Q28" s="128"/>
      <c r="R28" s="129"/>
    </row>
    <row r="29" spans="1:18" s="66" customFormat="1" ht="15" customHeight="1" x14ac:dyDescent="0.25">
      <c r="A29" s="102">
        <f>IF(UC_DADOS!$B$2=0,"",UC_DADOS!$B$2)</f>
        <v>7041435180</v>
      </c>
      <c r="B29" s="107"/>
      <c r="C29" s="124"/>
      <c r="D29" s="125"/>
      <c r="E29" s="68"/>
      <c r="F29" s="125"/>
      <c r="G29" s="125"/>
      <c r="H29" s="125"/>
      <c r="I29" s="125"/>
      <c r="J29" s="68"/>
      <c r="K29" s="68"/>
      <c r="L29" s="126"/>
      <c r="M29" s="127"/>
      <c r="N29" s="128"/>
      <c r="O29" s="128"/>
      <c r="P29" s="128"/>
      <c r="Q29" s="128"/>
      <c r="R29" s="129"/>
    </row>
    <row r="30" spans="1:18" s="66" customFormat="1" ht="15" customHeight="1" x14ac:dyDescent="0.25">
      <c r="A30" s="102">
        <f>IF(UC_DADOS!$B$2=0,"",UC_DADOS!$B$2)</f>
        <v>7041435180</v>
      </c>
      <c r="B30" s="107"/>
      <c r="C30" s="124"/>
      <c r="D30" s="125"/>
      <c r="E30" s="68"/>
      <c r="F30" s="125"/>
      <c r="G30" s="125"/>
      <c r="H30" s="125"/>
      <c r="I30" s="125"/>
      <c r="J30" s="68"/>
      <c r="K30" s="68"/>
      <c r="L30" s="126"/>
      <c r="M30" s="127"/>
      <c r="N30" s="128"/>
      <c r="O30" s="128"/>
      <c r="P30" s="128"/>
      <c r="Q30" s="128"/>
      <c r="R30" s="129"/>
    </row>
    <row r="31" spans="1:18" s="66" customFormat="1" ht="15" customHeight="1" x14ac:dyDescent="0.25">
      <c r="A31" s="102">
        <f>IF(UC_DADOS!$B$2=0,"",UC_DADOS!$B$2)</f>
        <v>7041435180</v>
      </c>
      <c r="B31" s="107"/>
      <c r="C31" s="124"/>
      <c r="D31" s="125"/>
      <c r="E31" s="68"/>
      <c r="F31" s="125"/>
      <c r="G31" s="125"/>
      <c r="H31" s="125"/>
      <c r="I31" s="125"/>
      <c r="J31" s="68"/>
      <c r="K31" s="68"/>
      <c r="L31" s="126"/>
      <c r="M31" s="127"/>
      <c r="N31" s="128"/>
      <c r="O31" s="128"/>
      <c r="P31" s="128"/>
      <c r="Q31" s="128"/>
      <c r="R31" s="129"/>
    </row>
    <row r="32" spans="1:18" s="66" customFormat="1" ht="15" customHeight="1" x14ac:dyDescent="0.25">
      <c r="A32" s="102">
        <f>IF(UC_DADOS!$B$2=0,"",UC_DADOS!$B$2)</f>
        <v>7041435180</v>
      </c>
      <c r="B32" s="107"/>
      <c r="C32" s="124"/>
      <c r="D32" s="125"/>
      <c r="E32" s="68"/>
      <c r="F32" s="125"/>
      <c r="G32" s="125"/>
      <c r="H32" s="125"/>
      <c r="I32" s="125"/>
      <c r="J32" s="68"/>
      <c r="K32" s="68"/>
      <c r="L32" s="126"/>
      <c r="M32" s="127"/>
      <c r="N32" s="128"/>
      <c r="O32" s="128"/>
      <c r="P32" s="128"/>
      <c r="Q32" s="128"/>
      <c r="R32" s="129"/>
    </row>
    <row r="33" spans="1:18" s="66" customFormat="1" ht="15" customHeight="1" x14ac:dyDescent="0.25">
      <c r="A33" s="102">
        <f>IF(UC_DADOS!$B$2=0,"",UC_DADOS!$B$2)</f>
        <v>7041435180</v>
      </c>
      <c r="B33" s="107"/>
      <c r="C33" s="124"/>
      <c r="D33" s="125"/>
      <c r="E33" s="68"/>
      <c r="F33" s="125"/>
      <c r="G33" s="125"/>
      <c r="H33" s="125"/>
      <c r="I33" s="125"/>
      <c r="J33" s="68"/>
      <c r="K33" s="68"/>
      <c r="L33" s="126"/>
      <c r="M33" s="127"/>
      <c r="N33" s="128"/>
      <c r="O33" s="128"/>
      <c r="P33" s="128"/>
      <c r="Q33" s="128"/>
      <c r="R33" s="129"/>
    </row>
    <row r="34" spans="1:18" s="66" customFormat="1" ht="15" customHeight="1" x14ac:dyDescent="0.25">
      <c r="A34" s="102">
        <f>IF(UC_DADOS!$B$2=0,"",UC_DADOS!$B$2)</f>
        <v>7041435180</v>
      </c>
      <c r="B34" s="107"/>
      <c r="C34" s="124"/>
      <c r="D34" s="125"/>
      <c r="E34" s="68"/>
      <c r="F34" s="125"/>
      <c r="G34" s="125"/>
      <c r="H34" s="125"/>
      <c r="I34" s="125"/>
      <c r="J34" s="68"/>
      <c r="K34" s="68"/>
      <c r="L34" s="126"/>
      <c r="M34" s="127"/>
      <c r="N34" s="128"/>
      <c r="O34" s="128"/>
      <c r="P34" s="128"/>
      <c r="Q34" s="128"/>
      <c r="R34" s="129"/>
    </row>
    <row r="35" spans="1:18" s="66" customFormat="1" ht="15" customHeight="1" x14ac:dyDescent="0.25">
      <c r="A35" s="102">
        <f>IF(UC_DADOS!$B$2=0,"",UC_DADOS!$B$2)</f>
        <v>7041435180</v>
      </c>
      <c r="B35" s="107"/>
      <c r="C35" s="124"/>
      <c r="D35" s="125"/>
      <c r="E35" s="68"/>
      <c r="F35" s="125"/>
      <c r="G35" s="125"/>
      <c r="H35" s="125"/>
      <c r="I35" s="125"/>
      <c r="J35" s="68"/>
      <c r="K35" s="68"/>
      <c r="L35" s="126"/>
      <c r="M35" s="127"/>
      <c r="N35" s="128"/>
      <c r="O35" s="128"/>
      <c r="P35" s="128"/>
      <c r="Q35" s="128"/>
      <c r="R35" s="129"/>
    </row>
    <row r="36" spans="1:18" s="66" customFormat="1" ht="15" customHeight="1" x14ac:dyDescent="0.25">
      <c r="A36" s="102">
        <f>IF(UC_DADOS!$B$2=0,"",UC_DADOS!$B$2)</f>
        <v>7041435180</v>
      </c>
      <c r="B36" s="107"/>
      <c r="C36" s="124"/>
      <c r="D36" s="125"/>
      <c r="E36" s="68"/>
      <c r="F36" s="125"/>
      <c r="G36" s="125"/>
      <c r="H36" s="125"/>
      <c r="I36" s="125"/>
      <c r="J36" s="68"/>
      <c r="K36" s="68"/>
      <c r="L36" s="126"/>
      <c r="M36" s="127"/>
      <c r="N36" s="128"/>
      <c r="O36" s="128"/>
      <c r="P36" s="128"/>
      <c r="Q36" s="128"/>
      <c r="R36" s="129"/>
    </row>
    <row r="37" spans="1:18" s="66" customFormat="1" ht="15" customHeight="1" x14ac:dyDescent="0.25">
      <c r="A37" s="102">
        <f>IF(UC_DADOS!$B$2=0,"",UC_DADOS!$B$2)</f>
        <v>7041435180</v>
      </c>
      <c r="B37" s="107"/>
      <c r="C37" s="124"/>
      <c r="D37" s="125"/>
      <c r="E37" s="68"/>
      <c r="F37" s="125"/>
      <c r="G37" s="125"/>
      <c r="H37" s="125"/>
      <c r="I37" s="125"/>
      <c r="J37" s="68"/>
      <c r="K37" s="68"/>
      <c r="L37" s="126"/>
      <c r="M37" s="127"/>
      <c r="N37" s="128"/>
      <c r="O37" s="128"/>
      <c r="P37" s="128"/>
      <c r="Q37" s="128"/>
      <c r="R37" s="129"/>
    </row>
    <row r="38" spans="1:18" s="66" customFormat="1" ht="15" customHeight="1" x14ac:dyDescent="0.25">
      <c r="A38" s="102">
        <f>IF(UC_DADOS!$B$2=0,"",UC_DADOS!$B$2)</f>
        <v>7041435180</v>
      </c>
      <c r="B38" s="107"/>
      <c r="C38" s="124"/>
      <c r="D38" s="125"/>
      <c r="E38" s="68"/>
      <c r="F38" s="125"/>
      <c r="G38" s="125"/>
      <c r="H38" s="125"/>
      <c r="I38" s="125"/>
      <c r="J38" s="68"/>
      <c r="K38" s="68"/>
      <c r="L38" s="126"/>
      <c r="M38" s="127"/>
      <c r="N38" s="128"/>
      <c r="O38" s="128"/>
      <c r="P38" s="128"/>
      <c r="Q38" s="128"/>
      <c r="R38" s="129"/>
    </row>
    <row r="39" spans="1:18" s="66" customFormat="1" ht="15" customHeight="1" x14ac:dyDescent="0.25">
      <c r="A39" s="102">
        <f>IF(UC_DADOS!$B$2=0,"",UC_DADOS!$B$2)</f>
        <v>7041435180</v>
      </c>
      <c r="B39" s="107"/>
      <c r="C39" s="124"/>
      <c r="D39" s="125"/>
      <c r="E39" s="68"/>
      <c r="F39" s="125"/>
      <c r="G39" s="125"/>
      <c r="H39" s="125"/>
      <c r="I39" s="125"/>
      <c r="J39" s="68"/>
      <c r="K39" s="68"/>
      <c r="L39" s="126"/>
      <c r="M39" s="127"/>
      <c r="N39" s="128"/>
      <c r="O39" s="128"/>
      <c r="P39" s="128"/>
      <c r="Q39" s="128"/>
      <c r="R39" s="129"/>
    </row>
    <row r="40" spans="1:18" s="66" customFormat="1" ht="15" customHeight="1" x14ac:dyDescent="0.25">
      <c r="A40" s="102">
        <f>IF(UC_DADOS!$B$2=0,"",UC_DADOS!$B$2)</f>
        <v>7041435180</v>
      </c>
      <c r="B40" s="107"/>
      <c r="C40" s="124"/>
      <c r="D40" s="125"/>
      <c r="E40" s="68"/>
      <c r="F40" s="125"/>
      <c r="G40" s="125"/>
      <c r="H40" s="125"/>
      <c r="I40" s="125"/>
      <c r="J40" s="68"/>
      <c r="K40" s="68"/>
      <c r="L40" s="126"/>
      <c r="M40" s="127"/>
      <c r="N40" s="128"/>
      <c r="O40" s="128"/>
      <c r="P40" s="128"/>
      <c r="Q40" s="128"/>
      <c r="R40" s="129"/>
    </row>
    <row r="41" spans="1:18" s="66" customFormat="1" ht="15" customHeight="1" x14ac:dyDescent="0.25">
      <c r="A41" s="102">
        <f>IF(UC_DADOS!$B$2=0,"",UC_DADOS!$B$2)</f>
        <v>7041435180</v>
      </c>
      <c r="B41" s="107"/>
      <c r="C41" s="124"/>
      <c r="D41" s="125"/>
      <c r="E41" s="68"/>
      <c r="F41" s="125"/>
      <c r="G41" s="125"/>
      <c r="H41" s="125"/>
      <c r="I41" s="125"/>
      <c r="J41" s="68"/>
      <c r="K41" s="68"/>
      <c r="L41" s="126"/>
      <c r="M41" s="127"/>
      <c r="N41" s="128"/>
      <c r="O41" s="128"/>
      <c r="P41" s="128"/>
      <c r="Q41" s="128"/>
      <c r="R41" s="129"/>
    </row>
    <row r="42" spans="1:18" s="66" customFormat="1" ht="15" customHeight="1" x14ac:dyDescent="0.25">
      <c r="A42" s="102">
        <f>IF(UC_DADOS!$B$2=0,"",UC_DADOS!$B$2)</f>
        <v>7041435180</v>
      </c>
      <c r="B42" s="107"/>
      <c r="C42" s="124"/>
      <c r="D42" s="125"/>
      <c r="E42" s="68"/>
      <c r="F42" s="125"/>
      <c r="G42" s="125"/>
      <c r="H42" s="125"/>
      <c r="I42" s="125"/>
      <c r="J42" s="68"/>
      <c r="K42" s="68"/>
      <c r="L42" s="126"/>
      <c r="M42" s="127"/>
      <c r="N42" s="128"/>
      <c r="O42" s="128"/>
      <c r="P42" s="128"/>
      <c r="Q42" s="128"/>
      <c r="R42" s="129"/>
    </row>
    <row r="43" spans="1:18" s="66" customFormat="1" ht="15" customHeight="1" x14ac:dyDescent="0.25">
      <c r="A43" s="102">
        <f>IF(UC_DADOS!$B$2=0,"",UC_DADOS!$B$2)</f>
        <v>7041435180</v>
      </c>
      <c r="B43" s="107"/>
      <c r="C43" s="124"/>
      <c r="D43" s="125"/>
      <c r="E43" s="68"/>
      <c r="F43" s="125"/>
      <c r="G43" s="125"/>
      <c r="H43" s="125"/>
      <c r="I43" s="125"/>
      <c r="J43" s="68"/>
      <c r="K43" s="68"/>
      <c r="L43" s="126"/>
      <c r="M43" s="127"/>
      <c r="N43" s="128"/>
      <c r="O43" s="128"/>
      <c r="P43" s="128"/>
      <c r="Q43" s="128"/>
      <c r="R43" s="129"/>
    </row>
    <row r="44" spans="1:18" s="66" customFormat="1" ht="15" customHeight="1" x14ac:dyDescent="0.25">
      <c r="A44" s="102">
        <f>IF(UC_DADOS!$B$2=0,"",UC_DADOS!$B$2)</f>
        <v>7041435180</v>
      </c>
      <c r="B44" s="107"/>
      <c r="C44" s="124"/>
      <c r="D44" s="125"/>
      <c r="E44" s="68"/>
      <c r="F44" s="125"/>
      <c r="G44" s="125"/>
      <c r="H44" s="125"/>
      <c r="I44" s="125"/>
      <c r="J44" s="68"/>
      <c r="K44" s="68"/>
      <c r="L44" s="126"/>
      <c r="M44" s="127"/>
      <c r="N44" s="128"/>
      <c r="O44" s="128"/>
      <c r="P44" s="128"/>
      <c r="Q44" s="128"/>
      <c r="R44" s="129"/>
    </row>
    <row r="45" spans="1:18" s="66" customFormat="1" ht="15" customHeight="1" x14ac:dyDescent="0.25">
      <c r="A45" s="102">
        <f>IF(UC_DADOS!$B$2=0,"",UC_DADOS!$B$2)</f>
        <v>7041435180</v>
      </c>
      <c r="B45" s="107"/>
      <c r="C45" s="124"/>
      <c r="D45" s="125"/>
      <c r="E45" s="68"/>
      <c r="F45" s="125"/>
      <c r="G45" s="125"/>
      <c r="H45" s="125"/>
      <c r="I45" s="125"/>
      <c r="J45" s="68"/>
      <c r="K45" s="68"/>
      <c r="L45" s="126"/>
      <c r="M45" s="127"/>
      <c r="N45" s="128"/>
      <c r="O45" s="128"/>
      <c r="P45" s="128"/>
      <c r="Q45" s="128"/>
      <c r="R45" s="129"/>
    </row>
    <row r="46" spans="1:18" s="66" customFormat="1" ht="15" customHeight="1" x14ac:dyDescent="0.25">
      <c r="A46" s="102">
        <f>IF(UC_DADOS!$B$2=0,"",UC_DADOS!$B$2)</f>
        <v>7041435180</v>
      </c>
      <c r="B46" s="107"/>
      <c r="C46" s="124"/>
      <c r="D46" s="125"/>
      <c r="E46" s="68"/>
      <c r="F46" s="125"/>
      <c r="G46" s="125"/>
      <c r="H46" s="125"/>
      <c r="I46" s="125"/>
      <c r="J46" s="68"/>
      <c r="K46" s="68"/>
      <c r="L46" s="126"/>
      <c r="M46" s="127"/>
      <c r="N46" s="128"/>
      <c r="O46" s="128"/>
      <c r="P46" s="128"/>
      <c r="Q46" s="128"/>
      <c r="R46" s="129"/>
    </row>
    <row r="47" spans="1:18" s="66" customFormat="1" ht="15" customHeight="1" x14ac:dyDescent="0.25">
      <c r="A47" s="102">
        <f>IF(UC_DADOS!$B$2=0,"",UC_DADOS!$B$2)</f>
        <v>7041435180</v>
      </c>
      <c r="B47" s="107"/>
      <c r="C47" s="124"/>
      <c r="D47" s="125"/>
      <c r="E47" s="68"/>
      <c r="F47" s="125"/>
      <c r="G47" s="125"/>
      <c r="H47" s="125"/>
      <c r="I47" s="125"/>
      <c r="J47" s="68"/>
      <c r="K47" s="68"/>
      <c r="L47" s="126"/>
      <c r="M47" s="127"/>
      <c r="N47" s="128"/>
      <c r="O47" s="128"/>
      <c r="P47" s="128"/>
      <c r="Q47" s="128"/>
      <c r="R47" s="129"/>
    </row>
    <row r="48" spans="1:18" s="66" customFormat="1" ht="15" customHeight="1" x14ac:dyDescent="0.25">
      <c r="A48" s="102">
        <f>IF(UC_DADOS!$B$2=0,"",UC_DADOS!$B$2)</f>
        <v>7041435180</v>
      </c>
      <c r="B48" s="107"/>
      <c r="C48" s="124"/>
      <c r="D48" s="125"/>
      <c r="E48" s="68"/>
      <c r="F48" s="125"/>
      <c r="G48" s="125"/>
      <c r="H48" s="125"/>
      <c r="I48" s="125"/>
      <c r="J48" s="68"/>
      <c r="K48" s="68"/>
      <c r="L48" s="126"/>
      <c r="M48" s="127"/>
      <c r="N48" s="128"/>
      <c r="O48" s="128"/>
      <c r="P48" s="128"/>
      <c r="Q48" s="128"/>
      <c r="R48" s="129"/>
    </row>
    <row r="49" spans="1:18" s="66" customFormat="1" ht="15" customHeight="1" x14ac:dyDescent="0.25">
      <c r="A49" s="102">
        <f>IF(UC_DADOS!$B$2=0,"",UC_DADOS!$B$2)</f>
        <v>7041435180</v>
      </c>
      <c r="B49" s="107"/>
      <c r="C49" s="124"/>
      <c r="D49" s="125"/>
      <c r="E49" s="68"/>
      <c r="F49" s="125"/>
      <c r="G49" s="125"/>
      <c r="H49" s="125"/>
      <c r="I49" s="125"/>
      <c r="J49" s="68"/>
      <c r="K49" s="68"/>
      <c r="L49" s="126"/>
      <c r="M49" s="127"/>
      <c r="N49" s="128"/>
      <c r="O49" s="128"/>
      <c r="P49" s="128"/>
      <c r="Q49" s="128"/>
      <c r="R49" s="129"/>
    </row>
    <row r="50" spans="1:18" s="66" customFormat="1" ht="15" customHeight="1" x14ac:dyDescent="0.25">
      <c r="A50" s="102">
        <f>IF(UC_DADOS!$B$2=0,"",UC_DADOS!$B$2)</f>
        <v>7041435180</v>
      </c>
      <c r="B50" s="107"/>
      <c r="C50" s="124"/>
      <c r="D50" s="125"/>
      <c r="E50" s="68"/>
      <c r="F50" s="125"/>
      <c r="G50" s="125"/>
      <c r="H50" s="125"/>
      <c r="I50" s="125"/>
      <c r="J50" s="68"/>
      <c r="K50" s="68"/>
      <c r="L50" s="126"/>
      <c r="M50" s="127"/>
      <c r="N50" s="128"/>
      <c r="O50" s="128"/>
      <c r="P50" s="128"/>
      <c r="Q50" s="128"/>
      <c r="R50" s="129"/>
    </row>
    <row r="51" spans="1:18" s="66" customFormat="1" ht="15" customHeight="1" x14ac:dyDescent="0.25">
      <c r="A51" s="102">
        <f>IF(UC_DADOS!$B$2=0,"",UC_DADOS!$B$2)</f>
        <v>7041435180</v>
      </c>
      <c r="B51" s="107"/>
      <c r="C51" s="124"/>
      <c r="D51" s="125"/>
      <c r="E51" s="68"/>
      <c r="F51" s="125"/>
      <c r="G51" s="125"/>
      <c r="H51" s="125"/>
      <c r="I51" s="125"/>
      <c r="J51" s="68"/>
      <c r="K51" s="68"/>
      <c r="L51" s="126"/>
      <c r="M51" s="127"/>
      <c r="N51" s="128"/>
      <c r="O51" s="128"/>
      <c r="P51" s="128"/>
      <c r="Q51" s="128"/>
      <c r="R51" s="129"/>
    </row>
    <row r="52" spans="1:18" s="66" customFormat="1" ht="15" customHeight="1" x14ac:dyDescent="0.25">
      <c r="A52" s="102">
        <f>IF(UC_DADOS!$B$2=0,"",UC_DADOS!$B$2)</f>
        <v>7041435180</v>
      </c>
      <c r="B52" s="107"/>
      <c r="C52" s="124"/>
      <c r="D52" s="125"/>
      <c r="E52" s="68"/>
      <c r="F52" s="125"/>
      <c r="G52" s="125"/>
      <c r="H52" s="125"/>
      <c r="I52" s="125"/>
      <c r="J52" s="68"/>
      <c r="K52" s="68"/>
      <c r="L52" s="126"/>
      <c r="M52" s="127"/>
      <c r="N52" s="128"/>
      <c r="O52" s="128"/>
      <c r="P52" s="128"/>
      <c r="Q52" s="128"/>
      <c r="R52" s="129"/>
    </row>
    <row r="53" spans="1:18" s="66" customFormat="1" ht="15" customHeight="1" x14ac:dyDescent="0.25">
      <c r="A53" s="102">
        <f>IF(UC_DADOS!$B$2=0,"",UC_DADOS!$B$2)</f>
        <v>7041435180</v>
      </c>
      <c r="B53" s="107"/>
      <c r="C53" s="124"/>
      <c r="D53" s="125"/>
      <c r="E53" s="68"/>
      <c r="F53" s="125"/>
      <c r="G53" s="125"/>
      <c r="H53" s="125"/>
      <c r="I53" s="125"/>
      <c r="J53" s="68"/>
      <c r="K53" s="68"/>
      <c r="L53" s="126"/>
      <c r="M53" s="127"/>
      <c r="N53" s="128"/>
      <c r="O53" s="128"/>
      <c r="P53" s="128"/>
      <c r="Q53" s="128"/>
      <c r="R53" s="129"/>
    </row>
    <row r="54" spans="1:18" s="66" customFormat="1" ht="15" customHeight="1" x14ac:dyDescent="0.25">
      <c r="A54" s="102">
        <f>IF(UC_DADOS!$B$2=0,"",UC_DADOS!$B$2)</f>
        <v>7041435180</v>
      </c>
      <c r="B54" s="107"/>
      <c r="C54" s="124"/>
      <c r="D54" s="125"/>
      <c r="E54" s="68"/>
      <c r="F54" s="125"/>
      <c r="G54" s="125"/>
      <c r="H54" s="125"/>
      <c r="I54" s="125"/>
      <c r="J54" s="68"/>
      <c r="K54" s="68"/>
      <c r="L54" s="126"/>
      <c r="M54" s="127"/>
      <c r="N54" s="128"/>
      <c r="O54" s="128"/>
      <c r="P54" s="128"/>
      <c r="Q54" s="128"/>
      <c r="R54" s="129"/>
    </row>
    <row r="55" spans="1:18" s="66" customFormat="1" ht="15" customHeight="1" x14ac:dyDescent="0.25">
      <c r="A55" s="102">
        <f>IF(UC_DADOS!$B$2=0,"",UC_DADOS!$B$2)</f>
        <v>7041435180</v>
      </c>
      <c r="B55" s="107"/>
      <c r="C55" s="124"/>
      <c r="D55" s="125"/>
      <c r="E55" s="68"/>
      <c r="F55" s="125"/>
      <c r="G55" s="125"/>
      <c r="H55" s="125"/>
      <c r="I55" s="125"/>
      <c r="J55" s="68"/>
      <c r="K55" s="68"/>
      <c r="L55" s="126"/>
      <c r="M55" s="127"/>
      <c r="N55" s="128"/>
      <c r="O55" s="128"/>
      <c r="P55" s="128"/>
      <c r="Q55" s="128"/>
      <c r="R55" s="129"/>
    </row>
    <row r="56" spans="1:18" s="66" customFormat="1" ht="15" customHeight="1" x14ac:dyDescent="0.25">
      <c r="A56" s="102">
        <f>IF(UC_DADOS!$B$2=0,"",UC_DADOS!$B$2)</f>
        <v>7041435180</v>
      </c>
      <c r="B56" s="107"/>
      <c r="C56" s="124"/>
      <c r="D56" s="125"/>
      <c r="E56" s="68"/>
      <c r="F56" s="125"/>
      <c r="G56" s="125"/>
      <c r="H56" s="125"/>
      <c r="I56" s="125"/>
      <c r="J56" s="68"/>
      <c r="K56" s="68"/>
      <c r="L56" s="126"/>
      <c r="M56" s="127"/>
      <c r="N56" s="128"/>
      <c r="O56" s="128"/>
      <c r="P56" s="128"/>
      <c r="Q56" s="128"/>
      <c r="R56" s="129"/>
    </row>
    <row r="57" spans="1:18" s="66" customFormat="1" ht="15" customHeight="1" x14ac:dyDescent="0.25">
      <c r="A57" s="102">
        <f>IF(UC_DADOS!$B$2=0,"",UC_DADOS!$B$2)</f>
        <v>7041435180</v>
      </c>
      <c r="B57" s="107"/>
      <c r="C57" s="124"/>
      <c r="D57" s="125"/>
      <c r="E57" s="68"/>
      <c r="F57" s="125"/>
      <c r="G57" s="125"/>
      <c r="H57" s="125"/>
      <c r="I57" s="125"/>
      <c r="J57" s="68"/>
      <c r="K57" s="68"/>
      <c r="L57" s="126"/>
      <c r="M57" s="127"/>
      <c r="N57" s="128"/>
      <c r="O57" s="128"/>
      <c r="P57" s="128"/>
      <c r="Q57" s="128"/>
      <c r="R57" s="129"/>
    </row>
    <row r="58" spans="1:18" s="66" customFormat="1" ht="15" customHeight="1" x14ac:dyDescent="0.25">
      <c r="A58" s="102">
        <f>IF(UC_DADOS!$B$2=0,"",UC_DADOS!$B$2)</f>
        <v>7041435180</v>
      </c>
      <c r="B58" s="107"/>
      <c r="C58" s="124"/>
      <c r="D58" s="125"/>
      <c r="E58" s="68"/>
      <c r="F58" s="125"/>
      <c r="G58" s="125"/>
      <c r="H58" s="125"/>
      <c r="I58" s="125"/>
      <c r="J58" s="68"/>
      <c r="K58" s="68"/>
      <c r="L58" s="126"/>
      <c r="M58" s="127"/>
      <c r="N58" s="128"/>
      <c r="O58" s="128"/>
      <c r="P58" s="128"/>
      <c r="Q58" s="128"/>
      <c r="R58" s="129"/>
    </row>
    <row r="59" spans="1:18" s="66" customFormat="1" ht="15" customHeight="1" x14ac:dyDescent="0.25">
      <c r="A59" s="102">
        <f>IF(UC_DADOS!$B$2=0,"",UC_DADOS!$B$2)</f>
        <v>7041435180</v>
      </c>
      <c r="B59" s="107"/>
      <c r="C59" s="124"/>
      <c r="D59" s="125"/>
      <c r="E59" s="68"/>
      <c r="F59" s="125"/>
      <c r="G59" s="125"/>
      <c r="H59" s="125"/>
      <c r="I59" s="125"/>
      <c r="J59" s="68"/>
      <c r="K59" s="68"/>
      <c r="L59" s="126"/>
      <c r="M59" s="127"/>
      <c r="N59" s="128"/>
      <c r="O59" s="128"/>
      <c r="P59" s="128"/>
      <c r="Q59" s="128"/>
      <c r="R59" s="129"/>
    </row>
    <row r="60" spans="1:18" s="66" customFormat="1" ht="15" customHeight="1" x14ac:dyDescent="0.25">
      <c r="A60" s="102">
        <f>IF(UC_DADOS!$B$2=0,"",UC_DADOS!$B$2)</f>
        <v>7041435180</v>
      </c>
      <c r="B60" s="107"/>
      <c r="C60" s="124"/>
      <c r="D60" s="125"/>
      <c r="E60" s="68"/>
      <c r="F60" s="125"/>
      <c r="G60" s="125"/>
      <c r="H60" s="125"/>
      <c r="I60" s="125"/>
      <c r="J60" s="68"/>
      <c r="K60" s="68"/>
      <c r="L60" s="126"/>
      <c r="M60" s="127"/>
      <c r="N60" s="128"/>
      <c r="O60" s="128"/>
      <c r="P60" s="128"/>
      <c r="Q60" s="128"/>
      <c r="R60" s="129"/>
    </row>
    <row r="61" spans="1:18" s="66" customFormat="1" ht="15" customHeight="1" x14ac:dyDescent="0.25">
      <c r="A61" s="102">
        <f>IF(UC_DADOS!$B$2=0,"",UC_DADOS!$B$2)</f>
        <v>7041435180</v>
      </c>
      <c r="B61" s="107"/>
      <c r="C61" s="124"/>
      <c r="D61" s="125"/>
      <c r="E61" s="68"/>
      <c r="F61" s="125"/>
      <c r="G61" s="125"/>
      <c r="H61" s="125"/>
      <c r="I61" s="125"/>
      <c r="J61" s="68"/>
      <c r="K61" s="68"/>
      <c r="L61" s="126"/>
      <c r="M61" s="127"/>
      <c r="N61" s="128"/>
      <c r="O61" s="128"/>
      <c r="P61" s="128"/>
      <c r="Q61" s="128"/>
      <c r="R61" s="129"/>
    </row>
    <row r="62" spans="1:18" s="66" customFormat="1" ht="15" customHeight="1" x14ac:dyDescent="0.25">
      <c r="A62" s="102">
        <f>IF(UC_DADOS!$B$2=0,"",UC_DADOS!$B$2)</f>
        <v>7041435180</v>
      </c>
      <c r="B62" s="107"/>
      <c r="C62" s="124"/>
      <c r="D62" s="125"/>
      <c r="E62" s="68"/>
      <c r="F62" s="125"/>
      <c r="G62" s="125"/>
      <c r="H62" s="125"/>
      <c r="I62" s="125"/>
      <c r="J62" s="68"/>
      <c r="K62" s="68"/>
      <c r="L62" s="126"/>
      <c r="M62" s="127"/>
      <c r="N62" s="128"/>
      <c r="O62" s="128"/>
      <c r="P62" s="128"/>
      <c r="Q62" s="128"/>
      <c r="R62" s="129"/>
    </row>
    <row r="63" spans="1:18" s="66" customFormat="1" ht="15" customHeight="1" x14ac:dyDescent="0.25">
      <c r="A63" s="102">
        <f>IF(UC_DADOS!$B$2=0,"",UC_DADOS!$B$2)</f>
        <v>7041435180</v>
      </c>
      <c r="B63" s="107"/>
      <c r="C63" s="124"/>
      <c r="D63" s="125"/>
      <c r="E63" s="68"/>
      <c r="F63" s="125"/>
      <c r="G63" s="125"/>
      <c r="H63" s="125"/>
      <c r="I63" s="125"/>
      <c r="J63" s="68"/>
      <c r="K63" s="68"/>
      <c r="L63" s="126"/>
      <c r="M63" s="127"/>
      <c r="N63" s="128"/>
      <c r="O63" s="128"/>
      <c r="P63" s="128"/>
      <c r="Q63" s="128"/>
      <c r="R63" s="129"/>
    </row>
    <row r="64" spans="1:18" s="66" customFormat="1" ht="15" customHeight="1" x14ac:dyDescent="0.25">
      <c r="A64" s="102">
        <f>IF(UC_DADOS!$B$2=0,"",UC_DADOS!$B$2)</f>
        <v>7041435180</v>
      </c>
      <c r="B64" s="107"/>
      <c r="C64" s="124"/>
      <c r="D64" s="125"/>
      <c r="E64" s="68"/>
      <c r="F64" s="125"/>
      <c r="G64" s="125"/>
      <c r="H64" s="125"/>
      <c r="I64" s="125"/>
      <c r="J64" s="68"/>
      <c r="K64" s="68"/>
      <c r="L64" s="126"/>
      <c r="M64" s="127"/>
      <c r="N64" s="128"/>
      <c r="O64" s="128"/>
      <c r="P64" s="128"/>
      <c r="Q64" s="128"/>
      <c r="R64" s="129"/>
    </row>
    <row r="65" spans="1:18" s="66" customFormat="1" ht="15" customHeight="1" x14ac:dyDescent="0.25">
      <c r="A65" s="102">
        <f>IF(UC_DADOS!$B$2=0,"",UC_DADOS!$B$2)</f>
        <v>7041435180</v>
      </c>
      <c r="B65" s="107"/>
      <c r="C65" s="124"/>
      <c r="D65" s="125"/>
      <c r="E65" s="68"/>
      <c r="F65" s="125"/>
      <c r="G65" s="125"/>
      <c r="H65" s="125"/>
      <c r="I65" s="125"/>
      <c r="J65" s="68"/>
      <c r="K65" s="68"/>
      <c r="L65" s="126"/>
      <c r="M65" s="127"/>
      <c r="N65" s="128"/>
      <c r="O65" s="128"/>
      <c r="P65" s="128"/>
      <c r="Q65" s="128"/>
      <c r="R65" s="129"/>
    </row>
    <row r="66" spans="1:18" s="66" customFormat="1" ht="15" customHeight="1" x14ac:dyDescent="0.25">
      <c r="A66" s="102">
        <f>IF(UC_DADOS!$B$2=0,"",UC_DADOS!$B$2)</f>
        <v>7041435180</v>
      </c>
      <c r="B66" s="107"/>
      <c r="C66" s="124"/>
      <c r="D66" s="125"/>
      <c r="E66" s="68"/>
      <c r="F66" s="125"/>
      <c r="G66" s="125"/>
      <c r="H66" s="125"/>
      <c r="I66" s="125"/>
      <c r="J66" s="68"/>
      <c r="K66" s="68"/>
      <c r="L66" s="126"/>
      <c r="M66" s="127"/>
      <c r="N66" s="128"/>
      <c r="O66" s="128"/>
      <c r="P66" s="128"/>
      <c r="Q66" s="128"/>
      <c r="R66" s="129"/>
    </row>
    <row r="67" spans="1:18" s="66" customFormat="1" ht="15" customHeight="1" x14ac:dyDescent="0.25">
      <c r="A67" s="102">
        <f>IF(UC_DADOS!$B$2=0,"",UC_DADOS!$B$2)</f>
        <v>7041435180</v>
      </c>
      <c r="B67" s="107"/>
      <c r="C67" s="124"/>
      <c r="D67" s="125"/>
      <c r="E67" s="68"/>
      <c r="F67" s="125"/>
      <c r="G67" s="125"/>
      <c r="H67" s="125"/>
      <c r="I67" s="125"/>
      <c r="J67" s="68"/>
      <c r="K67" s="68"/>
      <c r="L67" s="126"/>
      <c r="M67" s="127"/>
      <c r="N67" s="128"/>
      <c r="O67" s="128"/>
      <c r="P67" s="128"/>
      <c r="Q67" s="128"/>
      <c r="R67" s="129"/>
    </row>
    <row r="68" spans="1:18" s="66" customFormat="1" ht="15" customHeight="1" x14ac:dyDescent="0.25">
      <c r="A68" s="102">
        <f>IF(UC_DADOS!$B$2=0,"",UC_DADOS!$B$2)</f>
        <v>7041435180</v>
      </c>
      <c r="B68" s="107"/>
      <c r="C68" s="124"/>
      <c r="D68" s="125"/>
      <c r="E68" s="68"/>
      <c r="F68" s="125"/>
      <c r="G68" s="125"/>
      <c r="H68" s="125"/>
      <c r="I68" s="125"/>
      <c r="J68" s="68"/>
      <c r="K68" s="68"/>
      <c r="L68" s="126"/>
      <c r="M68" s="127"/>
      <c r="N68" s="128"/>
      <c r="O68" s="128"/>
      <c r="P68" s="128"/>
      <c r="Q68" s="128"/>
      <c r="R68" s="129"/>
    </row>
    <row r="69" spans="1:18" s="66" customFormat="1" ht="15" customHeight="1" x14ac:dyDescent="0.25">
      <c r="A69" s="102">
        <f>IF(UC_DADOS!$B$2=0,"",UC_DADOS!$B$2)</f>
        <v>7041435180</v>
      </c>
      <c r="B69" s="107"/>
      <c r="C69" s="124"/>
      <c r="D69" s="125"/>
      <c r="E69" s="68"/>
      <c r="F69" s="125"/>
      <c r="G69" s="125"/>
      <c r="H69" s="125"/>
      <c r="I69" s="125"/>
      <c r="J69" s="68"/>
      <c r="K69" s="68"/>
      <c r="L69" s="126"/>
      <c r="M69" s="127"/>
      <c r="N69" s="128"/>
      <c r="O69" s="128"/>
      <c r="P69" s="128"/>
      <c r="Q69" s="128"/>
      <c r="R69" s="129"/>
    </row>
    <row r="70" spans="1:18" s="66" customFormat="1" ht="15" customHeight="1" x14ac:dyDescent="0.25">
      <c r="A70" s="102">
        <f>IF(UC_DADOS!$B$2=0,"",UC_DADOS!$B$2)</f>
        <v>7041435180</v>
      </c>
      <c r="B70" s="107"/>
      <c r="C70" s="124"/>
      <c r="D70" s="125"/>
      <c r="E70" s="68"/>
      <c r="F70" s="125"/>
      <c r="G70" s="125"/>
      <c r="H70" s="125"/>
      <c r="I70" s="125"/>
      <c r="J70" s="68"/>
      <c r="K70" s="68"/>
      <c r="L70" s="126"/>
      <c r="M70" s="127"/>
      <c r="N70" s="128"/>
      <c r="O70" s="128"/>
      <c r="P70" s="128"/>
      <c r="Q70" s="128"/>
      <c r="R70" s="129"/>
    </row>
    <row r="71" spans="1:18" s="66" customFormat="1" ht="15" customHeight="1" x14ac:dyDescent="0.25">
      <c r="A71" s="102">
        <f>IF(UC_DADOS!$B$2=0,"",UC_DADOS!$B$2)</f>
        <v>7041435180</v>
      </c>
      <c r="B71" s="107"/>
      <c r="C71" s="124"/>
      <c r="D71" s="125"/>
      <c r="E71" s="68"/>
      <c r="F71" s="125"/>
      <c r="G71" s="125"/>
      <c r="H71" s="125"/>
      <c r="I71" s="125"/>
      <c r="J71" s="68"/>
      <c r="K71" s="68"/>
      <c r="L71" s="126"/>
      <c r="M71" s="127"/>
      <c r="N71" s="128"/>
      <c r="O71" s="128"/>
      <c r="P71" s="128"/>
      <c r="Q71" s="128"/>
      <c r="R71" s="129"/>
    </row>
    <row r="72" spans="1:18" s="66" customFormat="1" ht="15" customHeight="1" x14ac:dyDescent="0.25">
      <c r="A72" s="102">
        <f>IF(UC_DADOS!$B$2=0,"",UC_DADOS!$B$2)</f>
        <v>7041435180</v>
      </c>
      <c r="B72" s="107"/>
      <c r="C72" s="124"/>
      <c r="D72" s="125"/>
      <c r="E72" s="68"/>
      <c r="F72" s="125"/>
      <c r="G72" s="125"/>
      <c r="H72" s="125"/>
      <c r="I72" s="125"/>
      <c r="J72" s="68"/>
      <c r="K72" s="68"/>
      <c r="L72" s="126"/>
      <c r="M72" s="127"/>
      <c r="N72" s="128"/>
      <c r="O72" s="128"/>
      <c r="P72" s="128"/>
      <c r="Q72" s="128"/>
      <c r="R72" s="129"/>
    </row>
    <row r="73" spans="1:18" s="66" customFormat="1" ht="15" customHeight="1" x14ac:dyDescent="0.25">
      <c r="A73" s="102">
        <f>IF(UC_DADOS!$B$2=0,"",UC_DADOS!$B$2)</f>
        <v>7041435180</v>
      </c>
      <c r="B73" s="107"/>
      <c r="C73" s="124"/>
      <c r="D73" s="125"/>
      <c r="E73" s="68"/>
      <c r="F73" s="125"/>
      <c r="G73" s="125"/>
      <c r="H73" s="125"/>
      <c r="I73" s="125"/>
      <c r="J73" s="68"/>
      <c r="K73" s="68"/>
      <c r="L73" s="126"/>
      <c r="M73" s="127"/>
      <c r="N73" s="128"/>
      <c r="O73" s="128"/>
      <c r="P73" s="128"/>
      <c r="Q73" s="128"/>
      <c r="R73" s="129"/>
    </row>
    <row r="74" spans="1:18" s="66" customFormat="1" ht="15" customHeight="1" x14ac:dyDescent="0.25">
      <c r="A74" s="102">
        <f>IF(UC_DADOS!$B$2=0,"",UC_DADOS!$B$2)</f>
        <v>7041435180</v>
      </c>
      <c r="B74" s="107"/>
      <c r="C74" s="124"/>
      <c r="D74" s="125"/>
      <c r="E74" s="68"/>
      <c r="F74" s="125"/>
      <c r="G74" s="125"/>
      <c r="H74" s="125"/>
      <c r="I74" s="125"/>
      <c r="J74" s="68"/>
      <c r="K74" s="68"/>
      <c r="L74" s="126"/>
      <c r="M74" s="127"/>
      <c r="N74" s="128"/>
      <c r="O74" s="128"/>
      <c r="P74" s="128"/>
      <c r="Q74" s="128"/>
      <c r="R74" s="129"/>
    </row>
    <row r="75" spans="1:18" s="66" customFormat="1" ht="15" customHeight="1" x14ac:dyDescent="0.25">
      <c r="A75" s="102">
        <f>IF(UC_DADOS!$B$2=0,"",UC_DADOS!$B$2)</f>
        <v>7041435180</v>
      </c>
      <c r="B75" s="107"/>
      <c r="C75" s="124"/>
      <c r="D75" s="125"/>
      <c r="E75" s="68"/>
      <c r="F75" s="125"/>
      <c r="G75" s="125"/>
      <c r="H75" s="125"/>
      <c r="I75" s="125"/>
      <c r="J75" s="68"/>
      <c r="K75" s="68"/>
      <c r="L75" s="126"/>
      <c r="M75" s="127"/>
      <c r="N75" s="128"/>
      <c r="O75" s="128"/>
      <c r="P75" s="128"/>
      <c r="Q75" s="128"/>
      <c r="R75" s="129"/>
    </row>
    <row r="76" spans="1:18" s="66" customFormat="1" ht="15" customHeight="1" x14ac:dyDescent="0.25">
      <c r="A76" s="102">
        <f>IF(UC_DADOS!$B$2=0,"",UC_DADOS!$B$2)</f>
        <v>7041435180</v>
      </c>
      <c r="B76" s="107"/>
      <c r="C76" s="124"/>
      <c r="D76" s="125"/>
      <c r="E76" s="68"/>
      <c r="F76" s="125"/>
      <c r="G76" s="125"/>
      <c r="H76" s="125"/>
      <c r="I76" s="125"/>
      <c r="J76" s="68"/>
      <c r="K76" s="68"/>
      <c r="L76" s="126"/>
      <c r="M76" s="127"/>
      <c r="N76" s="128"/>
      <c r="O76" s="128"/>
      <c r="P76" s="128"/>
      <c r="Q76" s="128"/>
      <c r="R76" s="129"/>
    </row>
    <row r="77" spans="1:18" s="66" customFormat="1" ht="15" customHeight="1" x14ac:dyDescent="0.25">
      <c r="A77" s="102">
        <f>IF(UC_DADOS!$B$2=0,"",UC_DADOS!$B$2)</f>
        <v>7041435180</v>
      </c>
      <c r="B77" s="107"/>
      <c r="C77" s="124"/>
      <c r="D77" s="125"/>
      <c r="E77" s="68"/>
      <c r="F77" s="125"/>
      <c r="G77" s="125"/>
      <c r="H77" s="125"/>
      <c r="I77" s="125"/>
      <c r="J77" s="68"/>
      <c r="K77" s="68"/>
      <c r="L77" s="126"/>
      <c r="M77" s="127"/>
      <c r="N77" s="128"/>
      <c r="O77" s="128"/>
      <c r="P77" s="128"/>
      <c r="Q77" s="128"/>
      <c r="R77" s="129"/>
    </row>
    <row r="78" spans="1:18" s="66" customFormat="1" ht="15" customHeight="1" x14ac:dyDescent="0.25">
      <c r="A78" s="102">
        <f>IF(UC_DADOS!$B$2=0,"",UC_DADOS!$B$2)</f>
        <v>7041435180</v>
      </c>
      <c r="B78" s="107"/>
      <c r="C78" s="124"/>
      <c r="D78" s="125"/>
      <c r="E78" s="68"/>
      <c r="F78" s="125"/>
      <c r="G78" s="125"/>
      <c r="H78" s="125"/>
      <c r="I78" s="125"/>
      <c r="J78" s="68"/>
      <c r="K78" s="68"/>
      <c r="L78" s="126"/>
      <c r="M78" s="127"/>
      <c r="N78" s="128"/>
      <c r="O78" s="128"/>
      <c r="P78" s="128"/>
      <c r="Q78" s="128"/>
      <c r="R78" s="129"/>
    </row>
    <row r="79" spans="1:18" s="66" customFormat="1" ht="15" customHeight="1" x14ac:dyDescent="0.25">
      <c r="A79" s="102">
        <f>IF(UC_DADOS!$B$2=0,"",UC_DADOS!$B$2)</f>
        <v>7041435180</v>
      </c>
      <c r="B79" s="107"/>
      <c r="C79" s="124"/>
      <c r="D79" s="125"/>
      <c r="E79" s="68"/>
      <c r="F79" s="125"/>
      <c r="G79" s="125"/>
      <c r="H79" s="125"/>
      <c r="I79" s="125"/>
      <c r="J79" s="68"/>
      <c r="K79" s="68"/>
      <c r="L79" s="126"/>
      <c r="M79" s="127"/>
      <c r="N79" s="128"/>
      <c r="O79" s="128"/>
      <c r="P79" s="128"/>
      <c r="Q79" s="128"/>
      <c r="R79" s="129"/>
    </row>
    <row r="80" spans="1:18" s="66" customFormat="1" ht="15" customHeight="1" x14ac:dyDescent="0.25">
      <c r="A80" s="102">
        <f>IF(UC_DADOS!$B$2=0,"",UC_DADOS!$B$2)</f>
        <v>7041435180</v>
      </c>
      <c r="B80" s="107"/>
      <c r="C80" s="124"/>
      <c r="D80" s="125"/>
      <c r="E80" s="68"/>
      <c r="F80" s="125"/>
      <c r="G80" s="125"/>
      <c r="H80" s="125"/>
      <c r="I80" s="125"/>
      <c r="J80" s="68"/>
      <c r="K80" s="68"/>
      <c r="L80" s="126"/>
      <c r="M80" s="127"/>
      <c r="N80" s="128"/>
      <c r="O80" s="128"/>
      <c r="P80" s="128"/>
      <c r="Q80" s="128"/>
      <c r="R80" s="129"/>
    </row>
    <row r="81" spans="1:18" s="66" customFormat="1" ht="15" customHeight="1" x14ac:dyDescent="0.25">
      <c r="A81" s="102">
        <f>IF(UC_DADOS!$B$2=0,"",UC_DADOS!$B$2)</f>
        <v>7041435180</v>
      </c>
      <c r="B81" s="107"/>
      <c r="C81" s="124"/>
      <c r="D81" s="125"/>
      <c r="E81" s="68"/>
      <c r="F81" s="125"/>
      <c r="G81" s="125"/>
      <c r="H81" s="125"/>
      <c r="I81" s="125"/>
      <c r="J81" s="68"/>
      <c r="K81" s="68"/>
      <c r="L81" s="126"/>
      <c r="M81" s="127"/>
      <c r="N81" s="128"/>
      <c r="O81" s="128"/>
      <c r="P81" s="128"/>
      <c r="Q81" s="128"/>
      <c r="R81" s="129"/>
    </row>
    <row r="82" spans="1:18" s="66" customFormat="1" ht="15" customHeight="1" x14ac:dyDescent="0.25">
      <c r="A82" s="102">
        <f>IF(UC_DADOS!$B$2=0,"",UC_DADOS!$B$2)</f>
        <v>7041435180</v>
      </c>
      <c r="B82" s="107"/>
      <c r="C82" s="124"/>
      <c r="D82" s="125"/>
      <c r="E82" s="68"/>
      <c r="F82" s="125"/>
      <c r="G82" s="125"/>
      <c r="H82" s="125"/>
      <c r="I82" s="125"/>
      <c r="J82" s="68"/>
      <c r="K82" s="68"/>
      <c r="L82" s="126"/>
      <c r="M82" s="127"/>
      <c r="N82" s="128"/>
      <c r="O82" s="128"/>
      <c r="P82" s="128"/>
      <c r="Q82" s="128"/>
      <c r="R82" s="129"/>
    </row>
    <row r="83" spans="1:18" s="66" customFormat="1" ht="15" customHeight="1" x14ac:dyDescent="0.25">
      <c r="A83" s="102">
        <f>IF(UC_DADOS!$B$2=0,"",UC_DADOS!$B$2)</f>
        <v>7041435180</v>
      </c>
      <c r="B83" s="107"/>
      <c r="C83" s="124"/>
      <c r="D83" s="125"/>
      <c r="E83" s="68"/>
      <c r="F83" s="125"/>
      <c r="G83" s="125"/>
      <c r="H83" s="125"/>
      <c r="I83" s="125"/>
      <c r="J83" s="68"/>
      <c r="K83" s="68"/>
      <c r="L83" s="126"/>
      <c r="M83" s="127"/>
      <c r="N83" s="128"/>
      <c r="O83" s="128"/>
      <c r="P83" s="128"/>
      <c r="Q83" s="128"/>
      <c r="R83" s="129"/>
    </row>
    <row r="84" spans="1:18" s="66" customFormat="1" ht="15" customHeight="1" x14ac:dyDescent="0.25">
      <c r="A84" s="102">
        <f>IF(UC_DADOS!$B$2=0,"",UC_DADOS!$B$2)</f>
        <v>7041435180</v>
      </c>
      <c r="B84" s="107"/>
      <c r="C84" s="124"/>
      <c r="D84" s="125"/>
      <c r="E84" s="68"/>
      <c r="F84" s="125"/>
      <c r="G84" s="125"/>
      <c r="H84" s="125"/>
      <c r="I84" s="125"/>
      <c r="J84" s="68"/>
      <c r="K84" s="68"/>
      <c r="L84" s="126"/>
      <c r="M84" s="127"/>
      <c r="N84" s="128"/>
      <c r="O84" s="128"/>
      <c r="P84" s="128"/>
      <c r="Q84" s="128"/>
      <c r="R84" s="129"/>
    </row>
    <row r="85" spans="1:18" s="66" customFormat="1" ht="15" customHeight="1" x14ac:dyDescent="0.25">
      <c r="A85" s="102">
        <f>IF(UC_DADOS!$B$2=0,"",UC_DADOS!$B$2)</f>
        <v>7041435180</v>
      </c>
      <c r="B85" s="107"/>
      <c r="C85" s="124"/>
      <c r="D85" s="125"/>
      <c r="E85" s="68"/>
      <c r="F85" s="125"/>
      <c r="G85" s="125"/>
      <c r="H85" s="125"/>
      <c r="I85" s="125"/>
      <c r="J85" s="68"/>
      <c r="K85" s="68"/>
      <c r="L85" s="126"/>
      <c r="M85" s="127"/>
      <c r="N85" s="128"/>
      <c r="O85" s="128"/>
      <c r="P85" s="128"/>
      <c r="Q85" s="128"/>
      <c r="R85" s="129"/>
    </row>
    <row r="86" spans="1:18" s="66" customFormat="1" ht="15" customHeight="1" x14ac:dyDescent="0.25">
      <c r="A86" s="102">
        <f>IF(UC_DADOS!$B$2=0,"",UC_DADOS!$B$2)</f>
        <v>7041435180</v>
      </c>
      <c r="B86" s="107"/>
      <c r="C86" s="124"/>
      <c r="D86" s="125"/>
      <c r="E86" s="68"/>
      <c r="F86" s="125"/>
      <c r="G86" s="125"/>
      <c r="H86" s="125"/>
      <c r="I86" s="125"/>
      <c r="J86" s="68"/>
      <c r="K86" s="68"/>
      <c r="L86" s="126"/>
      <c r="M86" s="127"/>
      <c r="N86" s="128"/>
      <c r="O86" s="128"/>
      <c r="P86" s="128"/>
      <c r="Q86" s="128"/>
      <c r="R86" s="129"/>
    </row>
    <row r="87" spans="1:18" s="66" customFormat="1" ht="15" customHeight="1" x14ac:dyDescent="0.25">
      <c r="A87" s="102">
        <f>IF(UC_DADOS!$B$2=0,"",UC_DADOS!$B$2)</f>
        <v>7041435180</v>
      </c>
      <c r="B87" s="107"/>
      <c r="C87" s="124"/>
      <c r="D87" s="125"/>
      <c r="E87" s="68"/>
      <c r="F87" s="125"/>
      <c r="G87" s="125"/>
      <c r="H87" s="125"/>
      <c r="I87" s="125"/>
      <c r="J87" s="68"/>
      <c r="K87" s="68"/>
      <c r="L87" s="126"/>
      <c r="M87" s="127"/>
      <c r="N87" s="128"/>
      <c r="O87" s="128"/>
      <c r="P87" s="128"/>
      <c r="Q87" s="128"/>
      <c r="R87" s="129"/>
    </row>
    <row r="88" spans="1:18" s="66" customFormat="1" ht="15" customHeight="1" x14ac:dyDescent="0.25">
      <c r="A88" s="102">
        <f>IF(UC_DADOS!$B$2=0,"",UC_DADOS!$B$2)</f>
        <v>7041435180</v>
      </c>
      <c r="B88" s="107"/>
      <c r="C88" s="124"/>
      <c r="D88" s="125"/>
      <c r="E88" s="68"/>
      <c r="F88" s="125"/>
      <c r="G88" s="125"/>
      <c r="H88" s="125"/>
      <c r="I88" s="125"/>
      <c r="J88" s="68"/>
      <c r="K88" s="68"/>
      <c r="L88" s="126"/>
      <c r="M88" s="127"/>
      <c r="N88" s="128"/>
      <c r="O88" s="128"/>
      <c r="P88" s="128"/>
      <c r="Q88" s="128"/>
      <c r="R88" s="129"/>
    </row>
    <row r="89" spans="1:18" s="66" customFormat="1" ht="15" customHeight="1" x14ac:dyDescent="0.25">
      <c r="A89" s="102">
        <f>IF(UC_DADOS!$B$2=0,"",UC_DADOS!$B$2)</f>
        <v>7041435180</v>
      </c>
      <c r="B89" s="107"/>
      <c r="C89" s="124"/>
      <c r="D89" s="125"/>
      <c r="E89" s="68"/>
      <c r="F89" s="125"/>
      <c r="G89" s="125"/>
      <c r="H89" s="125"/>
      <c r="I89" s="125"/>
      <c r="J89" s="68"/>
      <c r="K89" s="68"/>
      <c r="L89" s="126"/>
      <c r="M89" s="127"/>
      <c r="N89" s="128"/>
      <c r="O89" s="128"/>
      <c r="P89" s="128"/>
      <c r="Q89" s="128"/>
      <c r="R89" s="129"/>
    </row>
    <row r="90" spans="1:18" s="66" customFormat="1" ht="15" customHeight="1" x14ac:dyDescent="0.25">
      <c r="A90" s="102">
        <f>IF(UC_DADOS!$B$2=0,"",UC_DADOS!$B$2)</f>
        <v>7041435180</v>
      </c>
      <c r="B90" s="107"/>
      <c r="C90" s="124"/>
      <c r="D90" s="125"/>
      <c r="E90" s="68"/>
      <c r="F90" s="125"/>
      <c r="G90" s="125"/>
      <c r="H90" s="125"/>
      <c r="I90" s="125"/>
      <c r="J90" s="68"/>
      <c r="K90" s="68"/>
      <c r="L90" s="126"/>
      <c r="M90" s="127"/>
      <c r="N90" s="128"/>
      <c r="O90" s="128"/>
      <c r="P90" s="128"/>
      <c r="Q90" s="128"/>
      <c r="R90" s="129"/>
    </row>
    <row r="91" spans="1:18" s="66" customFormat="1" ht="15" customHeight="1" x14ac:dyDescent="0.25">
      <c r="A91" s="102">
        <f>IF(UC_DADOS!$B$2=0,"",UC_DADOS!$B$2)</f>
        <v>7041435180</v>
      </c>
      <c r="B91" s="107"/>
      <c r="C91" s="124"/>
      <c r="D91" s="125"/>
      <c r="E91" s="68"/>
      <c r="F91" s="125"/>
      <c r="G91" s="125"/>
      <c r="H91" s="125"/>
      <c r="I91" s="125"/>
      <c r="J91" s="68"/>
      <c r="K91" s="68"/>
      <c r="L91" s="126"/>
      <c r="M91" s="127"/>
      <c r="N91" s="128"/>
      <c r="O91" s="128"/>
      <c r="P91" s="128"/>
      <c r="Q91" s="128"/>
      <c r="R91" s="129"/>
    </row>
    <row r="92" spans="1:18" s="66" customFormat="1" ht="15" customHeight="1" x14ac:dyDescent="0.25">
      <c r="A92" s="102">
        <f>IF(UC_DADOS!$B$2=0,"",UC_DADOS!$B$2)</f>
        <v>7041435180</v>
      </c>
      <c r="B92" s="107"/>
      <c r="C92" s="124"/>
      <c r="D92" s="125"/>
      <c r="E92" s="68"/>
      <c r="F92" s="125"/>
      <c r="G92" s="125"/>
      <c r="H92" s="125"/>
      <c r="I92" s="125"/>
      <c r="J92" s="68"/>
      <c r="K92" s="68"/>
      <c r="L92" s="126"/>
      <c r="M92" s="127"/>
      <c r="N92" s="128"/>
      <c r="O92" s="128"/>
      <c r="P92" s="128"/>
      <c r="Q92" s="128"/>
      <c r="R92" s="129"/>
    </row>
    <row r="93" spans="1:18" s="66" customFormat="1" ht="15" customHeight="1" x14ac:dyDescent="0.25">
      <c r="A93" s="102">
        <f>IF(UC_DADOS!$B$2=0,"",UC_DADOS!$B$2)</f>
        <v>7041435180</v>
      </c>
      <c r="B93" s="107"/>
      <c r="C93" s="124"/>
      <c r="D93" s="125"/>
      <c r="E93" s="68"/>
      <c r="F93" s="125"/>
      <c r="G93" s="125"/>
      <c r="H93" s="125"/>
      <c r="I93" s="125"/>
      <c r="J93" s="68"/>
      <c r="K93" s="68"/>
      <c r="L93" s="126"/>
      <c r="M93" s="127"/>
      <c r="N93" s="128"/>
      <c r="O93" s="128"/>
      <c r="P93" s="128"/>
      <c r="Q93" s="128"/>
      <c r="R93" s="129"/>
    </row>
    <row r="94" spans="1:18" s="66" customFormat="1" ht="15" customHeight="1" x14ac:dyDescent="0.25">
      <c r="A94" s="102">
        <f>IF(UC_DADOS!$B$2=0,"",UC_DADOS!$B$2)</f>
        <v>7041435180</v>
      </c>
      <c r="B94" s="107"/>
      <c r="C94" s="124"/>
      <c r="D94" s="125"/>
      <c r="E94" s="68"/>
      <c r="F94" s="125"/>
      <c r="G94" s="125"/>
      <c r="H94" s="125"/>
      <c r="I94" s="125"/>
      <c r="J94" s="68"/>
      <c r="K94" s="68"/>
      <c r="L94" s="126"/>
      <c r="M94" s="127"/>
      <c r="N94" s="128"/>
      <c r="O94" s="128"/>
      <c r="P94" s="128"/>
      <c r="Q94" s="128"/>
      <c r="R94" s="129"/>
    </row>
    <row r="95" spans="1:18" s="66" customFormat="1" ht="15" customHeight="1" x14ac:dyDescent="0.25">
      <c r="A95" s="102">
        <f>IF(UC_DADOS!$B$2=0,"",UC_DADOS!$B$2)</f>
        <v>7041435180</v>
      </c>
      <c r="B95" s="107"/>
      <c r="C95" s="124"/>
      <c r="D95" s="125"/>
      <c r="E95" s="68"/>
      <c r="F95" s="125"/>
      <c r="G95" s="125"/>
      <c r="H95" s="125"/>
      <c r="I95" s="125"/>
      <c r="J95" s="68"/>
      <c r="K95" s="68"/>
      <c r="L95" s="126"/>
      <c r="M95" s="127"/>
      <c r="N95" s="128"/>
      <c r="O95" s="128"/>
      <c r="P95" s="128"/>
      <c r="Q95" s="128"/>
      <c r="R95" s="129"/>
    </row>
    <row r="96" spans="1:18" s="66" customFormat="1" ht="15" customHeight="1" x14ac:dyDescent="0.25">
      <c r="A96" s="102">
        <f>IF(UC_DADOS!$B$2=0,"",UC_DADOS!$B$2)</f>
        <v>7041435180</v>
      </c>
      <c r="B96" s="107"/>
      <c r="C96" s="124"/>
      <c r="D96" s="125"/>
      <c r="E96" s="68"/>
      <c r="F96" s="125"/>
      <c r="G96" s="125"/>
      <c r="H96" s="125"/>
      <c r="I96" s="125"/>
      <c r="J96" s="68"/>
      <c r="K96" s="68"/>
      <c r="L96" s="126"/>
      <c r="M96" s="127"/>
      <c r="N96" s="128"/>
      <c r="O96" s="128"/>
      <c r="P96" s="128"/>
      <c r="Q96" s="128"/>
      <c r="R96" s="129"/>
    </row>
    <row r="97" spans="1:18" s="66" customFormat="1" ht="15" customHeight="1" x14ac:dyDescent="0.25">
      <c r="A97" s="102">
        <f>IF(UC_DADOS!$B$2=0,"",UC_DADOS!$B$2)</f>
        <v>7041435180</v>
      </c>
      <c r="B97" s="107"/>
      <c r="C97" s="124"/>
      <c r="D97" s="125"/>
      <c r="E97" s="68"/>
      <c r="F97" s="125"/>
      <c r="G97" s="125"/>
      <c r="H97" s="125"/>
      <c r="I97" s="125"/>
      <c r="J97" s="68"/>
      <c r="K97" s="68"/>
      <c r="L97" s="126"/>
      <c r="M97" s="127"/>
      <c r="N97" s="128"/>
      <c r="O97" s="128"/>
      <c r="P97" s="128"/>
      <c r="Q97" s="128"/>
      <c r="R97" s="129"/>
    </row>
    <row r="98" spans="1:18" s="66" customFormat="1" ht="15" customHeight="1" x14ac:dyDescent="0.25">
      <c r="A98" s="102">
        <f>IF(UC_DADOS!$B$2=0,"",UC_DADOS!$B$2)</f>
        <v>7041435180</v>
      </c>
      <c r="B98" s="107"/>
      <c r="C98" s="124"/>
      <c r="D98" s="125"/>
      <c r="E98" s="68"/>
      <c r="F98" s="125"/>
      <c r="G98" s="125"/>
      <c r="H98" s="125"/>
      <c r="I98" s="125"/>
      <c r="J98" s="68"/>
      <c r="K98" s="68"/>
      <c r="L98" s="126"/>
      <c r="M98" s="127"/>
      <c r="N98" s="128"/>
      <c r="O98" s="128"/>
      <c r="P98" s="128"/>
      <c r="Q98" s="128"/>
      <c r="R98" s="129"/>
    </row>
    <row r="99" spans="1:18" s="66" customFormat="1" ht="15" customHeight="1" x14ac:dyDescent="0.25">
      <c r="A99" s="102">
        <f>IF(UC_DADOS!$B$2=0,"",UC_DADOS!$B$2)</f>
        <v>7041435180</v>
      </c>
      <c r="B99" s="107"/>
      <c r="C99" s="124"/>
      <c r="D99" s="125"/>
      <c r="E99" s="68"/>
      <c r="F99" s="125"/>
      <c r="G99" s="125"/>
      <c r="H99" s="125"/>
      <c r="I99" s="125"/>
      <c r="J99" s="68"/>
      <c r="K99" s="68"/>
      <c r="L99" s="126"/>
      <c r="M99" s="127"/>
      <c r="N99" s="128"/>
      <c r="O99" s="128"/>
      <c r="P99" s="128"/>
      <c r="Q99" s="128"/>
      <c r="R99" s="129"/>
    </row>
    <row r="100" spans="1:18" s="66" customFormat="1" ht="15" customHeight="1" x14ac:dyDescent="0.25">
      <c r="A100" s="102">
        <f>IF(UC_DADOS!$B$2=0,"",UC_DADOS!$B$2)</f>
        <v>7041435180</v>
      </c>
      <c r="B100" s="107"/>
      <c r="C100" s="124"/>
      <c r="D100" s="125"/>
      <c r="E100" s="68"/>
      <c r="F100" s="125"/>
      <c r="G100" s="125"/>
      <c r="H100" s="125"/>
      <c r="I100" s="125"/>
      <c r="J100" s="68"/>
      <c r="K100" s="68"/>
      <c r="L100" s="126"/>
      <c r="M100" s="127"/>
      <c r="N100" s="128"/>
      <c r="O100" s="128"/>
      <c r="P100" s="128"/>
      <c r="Q100" s="128"/>
      <c r="R100" s="129"/>
    </row>
  </sheetData>
  <mergeCells count="3">
    <mergeCell ref="C1:L1"/>
    <mergeCell ref="M1:R1"/>
    <mergeCell ref="A1:B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9"/>
  <sheetViews>
    <sheetView zoomScale="90" zoomScaleNormal="90" workbookViewId="0">
      <pane xSplit="3" ySplit="2" topLeftCell="D3" activePane="bottomRight" state="frozen"/>
      <selection pane="topRight" activeCell="C1" sqref="C1"/>
      <selection pane="bottomLeft" activeCell="A1048543" sqref="A1048543"/>
      <selection pane="bottomRight" activeCell="G20" sqref="G20"/>
    </sheetView>
  </sheetViews>
  <sheetFormatPr defaultColWidth="8.85546875" defaultRowHeight="15" x14ac:dyDescent="0.25"/>
  <cols>
    <col min="1" max="2" width="19" style="55" customWidth="1"/>
    <col min="3" max="3" width="23.140625" style="55" customWidth="1"/>
    <col min="4" max="17" width="18.85546875" style="56" customWidth="1"/>
    <col min="18" max="30" width="20.42578125" style="56" customWidth="1"/>
    <col min="31" max="33" width="18.42578125" style="56" customWidth="1"/>
    <col min="34" max="34" width="8.85546875" style="55" customWidth="1"/>
    <col min="35" max="16384" width="8.85546875" style="55"/>
  </cols>
  <sheetData>
    <row r="1" spans="1:33" ht="22.5" customHeight="1" thickBot="1" x14ac:dyDescent="0.3">
      <c r="A1" s="429" t="s">
        <v>649</v>
      </c>
      <c r="B1" s="429"/>
      <c r="C1" s="396"/>
      <c r="D1" s="430" t="s">
        <v>603</v>
      </c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8" t="s">
        <v>604</v>
      </c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394" t="s">
        <v>605</v>
      </c>
      <c r="AF1" s="393"/>
      <c r="AG1" s="393"/>
    </row>
    <row r="2" spans="1:33" s="66" customFormat="1" ht="81.75" customHeight="1" x14ac:dyDescent="0.25">
      <c r="A2" s="272" t="s">
        <v>608</v>
      </c>
      <c r="B2" s="282" t="s">
        <v>609</v>
      </c>
      <c r="C2" s="283" t="s">
        <v>611</v>
      </c>
      <c r="D2" s="284" t="s">
        <v>612</v>
      </c>
      <c r="E2" s="285" t="s">
        <v>741</v>
      </c>
      <c r="F2" s="274" t="s">
        <v>616</v>
      </c>
      <c r="G2" s="274" t="s">
        <v>617</v>
      </c>
      <c r="H2" s="274" t="s">
        <v>742</v>
      </c>
      <c r="I2" s="274" t="s">
        <v>620</v>
      </c>
      <c r="J2" s="274" t="s">
        <v>622</v>
      </c>
      <c r="K2" s="273" t="s">
        <v>623</v>
      </c>
      <c r="L2" s="273" t="s">
        <v>621</v>
      </c>
      <c r="M2" s="273" t="s">
        <v>624</v>
      </c>
      <c r="N2" s="273" t="s">
        <v>743</v>
      </c>
      <c r="O2" s="273" t="s">
        <v>625</v>
      </c>
      <c r="P2" s="273" t="s">
        <v>626</v>
      </c>
      <c r="Q2" s="273" t="s">
        <v>627</v>
      </c>
      <c r="R2" s="307" t="s">
        <v>612</v>
      </c>
      <c r="S2" s="308" t="s">
        <v>741</v>
      </c>
      <c r="T2" s="309" t="s">
        <v>616</v>
      </c>
      <c r="U2" s="309" t="s">
        <v>617</v>
      </c>
      <c r="V2" s="309" t="s">
        <v>742</v>
      </c>
      <c r="W2" s="309" t="s">
        <v>621</v>
      </c>
      <c r="X2" s="309" t="s">
        <v>629</v>
      </c>
      <c r="Y2" s="295" t="s">
        <v>657</v>
      </c>
      <c r="Z2" s="295" t="s">
        <v>624</v>
      </c>
      <c r="AA2" s="295" t="s">
        <v>743</v>
      </c>
      <c r="AB2" s="295" t="s">
        <v>625</v>
      </c>
      <c r="AC2" s="295" t="s">
        <v>626</v>
      </c>
      <c r="AD2" s="295" t="s">
        <v>627</v>
      </c>
      <c r="AE2" s="294" t="s">
        <v>631</v>
      </c>
      <c r="AF2" s="297" t="s">
        <v>632</v>
      </c>
      <c r="AG2" s="296" t="s">
        <v>634</v>
      </c>
    </row>
    <row r="3" spans="1:33" s="91" customFormat="1" x14ac:dyDescent="0.25">
      <c r="A3" s="91">
        <f>IF(UC_DADOS!$B$2=0,"",UC_DADOS!$B$2)</f>
        <v>7041435180</v>
      </c>
      <c r="B3" s="310" t="s">
        <v>658</v>
      </c>
      <c r="C3" s="310" t="s">
        <v>744</v>
      </c>
      <c r="D3" s="310" t="s">
        <v>744</v>
      </c>
      <c r="E3" s="311">
        <v>5500</v>
      </c>
      <c r="F3" s="311">
        <v>1</v>
      </c>
      <c r="G3" s="91">
        <f>E3*F3</f>
        <v>5500</v>
      </c>
      <c r="H3" s="91">
        <v>0.7</v>
      </c>
      <c r="I3" s="312">
        <v>0</v>
      </c>
      <c r="J3" s="312">
        <v>12</v>
      </c>
      <c r="K3" s="92">
        <v>21.25</v>
      </c>
      <c r="L3" s="138">
        <f>I3*J3*K3</f>
        <v>0</v>
      </c>
      <c r="M3" s="91">
        <v>0</v>
      </c>
      <c r="N3" s="92"/>
      <c r="O3" s="138">
        <f>J3*K3*N3/765</f>
        <v>0</v>
      </c>
      <c r="P3" s="138">
        <f t="shared" ref="P3:P10" si="0">(I3*J3)/1000</f>
        <v>0</v>
      </c>
      <c r="Q3" s="138">
        <f t="shared" ref="Q3:Q10" si="1">O3*I3</f>
        <v>0</v>
      </c>
      <c r="R3" s="92"/>
      <c r="S3" s="92"/>
      <c r="T3" s="92"/>
      <c r="U3" s="92"/>
      <c r="V3" s="139"/>
      <c r="W3" s="139"/>
      <c r="X3" s="139"/>
      <c r="Y3" s="139"/>
      <c r="Z3" s="139"/>
      <c r="AA3" s="139"/>
      <c r="AB3" s="139"/>
      <c r="AC3" s="139"/>
      <c r="AD3" s="139"/>
      <c r="AE3" s="186"/>
      <c r="AF3" s="186"/>
      <c r="AG3" s="186"/>
    </row>
    <row r="4" spans="1:33" s="91" customFormat="1" x14ac:dyDescent="0.25">
      <c r="A4" s="91">
        <f>IF(UC_DADOS!$B$2=0,"",UC_DADOS!$B$2)</f>
        <v>7041435180</v>
      </c>
      <c r="B4" s="310" t="s">
        <v>658</v>
      </c>
      <c r="C4" s="310" t="s">
        <v>745</v>
      </c>
      <c r="D4" s="310" t="s">
        <v>746</v>
      </c>
      <c r="E4" s="311">
        <v>200</v>
      </c>
      <c r="F4" s="311">
        <v>1</v>
      </c>
      <c r="G4" s="91">
        <f t="shared" ref="G4:G18" si="2">E4*F4</f>
        <v>200</v>
      </c>
      <c r="H4" s="91">
        <v>0.7</v>
      </c>
      <c r="I4" s="312">
        <v>0</v>
      </c>
      <c r="J4" s="312">
        <v>12</v>
      </c>
      <c r="K4" s="92">
        <v>21.25</v>
      </c>
      <c r="L4" s="138">
        <f t="shared" ref="L4:L10" si="3">I4*J4*K4</f>
        <v>0</v>
      </c>
      <c r="M4" s="91">
        <v>0</v>
      </c>
      <c r="N4" s="92"/>
      <c r="O4" s="138">
        <f t="shared" ref="O4:O10" si="4">J4*K4*N4/765</f>
        <v>0</v>
      </c>
      <c r="P4" s="138">
        <f t="shared" si="0"/>
        <v>0</v>
      </c>
      <c r="Q4" s="138">
        <f t="shared" si="1"/>
        <v>0</v>
      </c>
      <c r="R4" s="92"/>
      <c r="S4" s="92"/>
      <c r="T4" s="92"/>
      <c r="U4" s="92"/>
      <c r="V4" s="139"/>
      <c r="W4" s="139"/>
      <c r="X4" s="139"/>
      <c r="Y4" s="139"/>
      <c r="Z4" s="139"/>
      <c r="AA4" s="139"/>
      <c r="AB4" s="139"/>
      <c r="AC4" s="139"/>
      <c r="AD4" s="139"/>
      <c r="AE4" s="186"/>
      <c r="AF4" s="186"/>
      <c r="AG4" s="186"/>
    </row>
    <row r="5" spans="1:33" s="91" customFormat="1" x14ac:dyDescent="0.25">
      <c r="A5" s="91">
        <f>IF(UC_DADOS!$B$2=0,"",UC_DADOS!$B$2)</f>
        <v>7041435180</v>
      </c>
      <c r="B5" s="310" t="s">
        <v>658</v>
      </c>
      <c r="C5" s="310" t="s">
        <v>745</v>
      </c>
      <c r="D5" s="310" t="s">
        <v>747</v>
      </c>
      <c r="E5" s="311">
        <v>200</v>
      </c>
      <c r="F5" s="311">
        <v>2</v>
      </c>
      <c r="G5" s="91">
        <f t="shared" si="2"/>
        <v>400</v>
      </c>
      <c r="H5" s="91">
        <v>0.7</v>
      </c>
      <c r="I5" s="312">
        <v>0</v>
      </c>
      <c r="J5" s="312">
        <v>12</v>
      </c>
      <c r="K5" s="92">
        <v>21.25</v>
      </c>
      <c r="L5" s="138">
        <f t="shared" si="3"/>
        <v>0</v>
      </c>
      <c r="M5" s="91">
        <v>0</v>
      </c>
      <c r="N5" s="92"/>
      <c r="O5" s="138">
        <f t="shared" si="4"/>
        <v>0</v>
      </c>
      <c r="P5" s="138">
        <f t="shared" si="0"/>
        <v>0</v>
      </c>
      <c r="Q5" s="138">
        <f t="shared" si="1"/>
        <v>0</v>
      </c>
      <c r="R5" s="92"/>
      <c r="S5" s="92"/>
      <c r="T5" s="92"/>
      <c r="U5" s="92"/>
      <c r="V5" s="139"/>
      <c r="W5" s="139"/>
      <c r="X5" s="139"/>
      <c r="Y5" s="139"/>
      <c r="Z5" s="139"/>
      <c r="AA5" s="139"/>
      <c r="AB5" s="139"/>
      <c r="AC5" s="139"/>
      <c r="AD5" s="139"/>
      <c r="AE5" s="186"/>
      <c r="AF5" s="186"/>
      <c r="AG5" s="186"/>
    </row>
    <row r="6" spans="1:33" s="91" customFormat="1" x14ac:dyDescent="0.25">
      <c r="A6" s="91">
        <f>IF(UC_DADOS!$B$2=0,"",UC_DADOS!$B$2)</f>
        <v>7041435180</v>
      </c>
      <c r="B6" s="310" t="s">
        <v>658</v>
      </c>
      <c r="C6" s="310" t="s">
        <v>745</v>
      </c>
      <c r="D6" s="310" t="s">
        <v>747</v>
      </c>
      <c r="E6" s="311">
        <v>200</v>
      </c>
      <c r="F6" s="311">
        <v>2</v>
      </c>
      <c r="G6" s="91">
        <f t="shared" si="2"/>
        <v>400</v>
      </c>
      <c r="H6" s="91">
        <v>0.7</v>
      </c>
      <c r="I6" s="312">
        <v>0</v>
      </c>
      <c r="J6" s="312">
        <v>12</v>
      </c>
      <c r="K6" s="92">
        <v>21.25</v>
      </c>
      <c r="L6" s="138">
        <f t="shared" si="3"/>
        <v>0</v>
      </c>
      <c r="M6" s="91">
        <v>0</v>
      </c>
      <c r="N6" s="92"/>
      <c r="O6" s="138">
        <f t="shared" si="4"/>
        <v>0</v>
      </c>
      <c r="P6" s="138">
        <f t="shared" si="0"/>
        <v>0</v>
      </c>
      <c r="Q6" s="138">
        <f t="shared" si="1"/>
        <v>0</v>
      </c>
      <c r="R6" s="92"/>
      <c r="S6" s="92"/>
      <c r="T6" s="92"/>
      <c r="U6" s="92"/>
      <c r="V6" s="139"/>
      <c r="W6" s="139"/>
      <c r="X6" s="139"/>
      <c r="Y6" s="139"/>
      <c r="Z6" s="139"/>
      <c r="AA6" s="139"/>
      <c r="AB6" s="139"/>
      <c r="AC6" s="139"/>
      <c r="AD6" s="139"/>
      <c r="AE6" s="186"/>
      <c r="AF6" s="186"/>
      <c r="AG6" s="186"/>
    </row>
    <row r="7" spans="1:33" s="91" customFormat="1" x14ac:dyDescent="0.25">
      <c r="A7" s="91">
        <f>IF(UC_DADOS!$B$2=0,"",UC_DADOS!$B$2)</f>
        <v>7041435180</v>
      </c>
      <c r="B7" s="310" t="s">
        <v>658</v>
      </c>
      <c r="C7" s="310" t="s">
        <v>748</v>
      </c>
      <c r="D7" s="310" t="s">
        <v>748</v>
      </c>
      <c r="E7" s="311">
        <v>5500</v>
      </c>
      <c r="F7" s="311">
        <v>7</v>
      </c>
      <c r="G7" s="91">
        <f t="shared" si="2"/>
        <v>38500</v>
      </c>
      <c r="H7" s="91">
        <v>0.7</v>
      </c>
      <c r="I7" s="312">
        <v>1</v>
      </c>
      <c r="J7" s="312">
        <v>11</v>
      </c>
      <c r="K7" s="92">
        <v>21.25</v>
      </c>
      <c r="L7" s="138">
        <f t="shared" si="3"/>
        <v>233.75</v>
      </c>
      <c r="M7" s="91">
        <v>0</v>
      </c>
      <c r="N7" s="92"/>
      <c r="O7" s="138">
        <f t="shared" si="4"/>
        <v>0</v>
      </c>
      <c r="P7" s="138">
        <f t="shared" si="0"/>
        <v>1.0999999999999999E-2</v>
      </c>
      <c r="Q7" s="138">
        <f t="shared" si="1"/>
        <v>0</v>
      </c>
      <c r="R7" s="92"/>
      <c r="S7" s="92"/>
      <c r="T7" s="92"/>
      <c r="U7" s="92"/>
      <c r="V7" s="139"/>
      <c r="W7" s="139"/>
      <c r="X7" s="139"/>
      <c r="Y7" s="139"/>
      <c r="Z7" s="139"/>
      <c r="AA7" s="139"/>
      <c r="AB7" s="139"/>
      <c r="AC7" s="139"/>
      <c r="AD7" s="139"/>
      <c r="AE7" s="186"/>
      <c r="AF7" s="186"/>
      <c r="AG7" s="186"/>
    </row>
    <row r="8" spans="1:33" s="91" customFormat="1" x14ac:dyDescent="0.25">
      <c r="A8" s="91">
        <f>IF(UC_DADOS!$B$2=0,"",UC_DADOS!$B$2)</f>
        <v>7041435180</v>
      </c>
      <c r="B8" s="310" t="s">
        <v>658</v>
      </c>
      <c r="C8" s="310" t="s">
        <v>745</v>
      </c>
      <c r="D8" s="310" t="s">
        <v>747</v>
      </c>
      <c r="E8" s="311">
        <v>200</v>
      </c>
      <c r="F8" s="311">
        <v>1</v>
      </c>
      <c r="G8" s="91">
        <f t="shared" si="2"/>
        <v>200</v>
      </c>
      <c r="H8" s="91">
        <v>0.7</v>
      </c>
      <c r="I8" s="312">
        <v>0</v>
      </c>
      <c r="J8" s="312">
        <v>11</v>
      </c>
      <c r="K8" s="92">
        <v>21.25</v>
      </c>
      <c r="L8" s="138">
        <f t="shared" si="3"/>
        <v>0</v>
      </c>
      <c r="M8" s="91">
        <v>0</v>
      </c>
      <c r="N8" s="92"/>
      <c r="O8" s="138">
        <f t="shared" si="4"/>
        <v>0</v>
      </c>
      <c r="P8" s="138">
        <f t="shared" si="0"/>
        <v>0</v>
      </c>
      <c r="Q8" s="138">
        <f t="shared" si="1"/>
        <v>0</v>
      </c>
      <c r="R8" s="92"/>
      <c r="S8" s="92"/>
      <c r="T8" s="92"/>
      <c r="U8" s="92"/>
      <c r="V8" s="139"/>
      <c r="W8" s="139"/>
      <c r="X8" s="139"/>
      <c r="Y8" s="139"/>
      <c r="Z8" s="139"/>
      <c r="AA8" s="139"/>
      <c r="AB8" s="139"/>
      <c r="AC8" s="139"/>
      <c r="AD8" s="139"/>
      <c r="AE8" s="186"/>
      <c r="AF8" s="186"/>
      <c r="AG8" s="186"/>
    </row>
    <row r="9" spans="1:33" s="91" customFormat="1" x14ac:dyDescent="0.25">
      <c r="A9" s="91">
        <f>IF(UC_DADOS!$B$2=0,"",UC_DADOS!$B$2)</f>
        <v>7041435180</v>
      </c>
      <c r="B9" s="310" t="s">
        <v>658</v>
      </c>
      <c r="C9" s="310" t="s">
        <v>749</v>
      </c>
      <c r="D9" s="310" t="s">
        <v>749</v>
      </c>
      <c r="E9" s="311">
        <v>1500</v>
      </c>
      <c r="F9" s="311">
        <v>1</v>
      </c>
      <c r="G9" s="91">
        <f t="shared" si="2"/>
        <v>1500</v>
      </c>
      <c r="H9" s="91">
        <v>0.7</v>
      </c>
      <c r="I9" s="312">
        <v>0</v>
      </c>
      <c r="J9" s="312">
        <v>11</v>
      </c>
      <c r="K9" s="92">
        <v>21.25</v>
      </c>
      <c r="L9" s="138">
        <f t="shared" si="3"/>
        <v>0</v>
      </c>
      <c r="M9" s="91">
        <v>0</v>
      </c>
      <c r="N9" s="92"/>
      <c r="O9" s="138">
        <f t="shared" si="4"/>
        <v>0</v>
      </c>
      <c r="P9" s="138">
        <f t="shared" si="0"/>
        <v>0</v>
      </c>
      <c r="Q9" s="138">
        <f t="shared" si="1"/>
        <v>0</v>
      </c>
      <c r="R9" s="92"/>
      <c r="S9" s="92"/>
      <c r="T9" s="92"/>
      <c r="U9" s="92"/>
      <c r="V9" s="139"/>
      <c r="W9" s="139"/>
      <c r="X9" s="139"/>
      <c r="Y9" s="139"/>
      <c r="Z9" s="139"/>
      <c r="AA9" s="139"/>
      <c r="AB9" s="139"/>
      <c r="AC9" s="139"/>
      <c r="AD9" s="139"/>
      <c r="AE9" s="186"/>
      <c r="AF9" s="186"/>
      <c r="AG9" s="186"/>
    </row>
    <row r="10" spans="1:33" s="91" customFormat="1" x14ac:dyDescent="0.25">
      <c r="A10" s="91">
        <f>IF(UC_DADOS!$B$2=0,"",UC_DADOS!$B$2)</f>
        <v>7041435180</v>
      </c>
      <c r="B10" s="310" t="s">
        <v>658</v>
      </c>
      <c r="C10" s="310" t="s">
        <v>745</v>
      </c>
      <c r="D10" s="310" t="s">
        <v>747</v>
      </c>
      <c r="E10" s="311">
        <v>200</v>
      </c>
      <c r="F10" s="311">
        <v>1</v>
      </c>
      <c r="G10" s="91">
        <f t="shared" si="2"/>
        <v>200</v>
      </c>
      <c r="H10" s="91">
        <v>0.7</v>
      </c>
      <c r="I10" s="312">
        <v>0</v>
      </c>
      <c r="J10" s="312">
        <v>11</v>
      </c>
      <c r="K10" s="92">
        <v>21.25</v>
      </c>
      <c r="L10" s="138">
        <f t="shared" si="3"/>
        <v>0</v>
      </c>
      <c r="M10" s="91">
        <v>0</v>
      </c>
      <c r="N10" s="92"/>
      <c r="O10" s="138">
        <f t="shared" si="4"/>
        <v>0</v>
      </c>
      <c r="P10" s="138">
        <f t="shared" si="0"/>
        <v>0</v>
      </c>
      <c r="Q10" s="138">
        <f t="shared" si="1"/>
        <v>0</v>
      </c>
      <c r="R10" s="92"/>
      <c r="S10" s="92"/>
      <c r="T10" s="92"/>
      <c r="U10" s="92"/>
      <c r="V10" s="139"/>
      <c r="W10" s="139"/>
      <c r="X10" s="139"/>
      <c r="Y10" s="139"/>
      <c r="Z10" s="139"/>
      <c r="AA10" s="139"/>
      <c r="AB10" s="139"/>
      <c r="AC10" s="139"/>
      <c r="AD10" s="139"/>
      <c r="AE10" s="186"/>
      <c r="AF10" s="186"/>
      <c r="AG10" s="186"/>
    </row>
    <row r="11" spans="1:33" s="313" customFormat="1" x14ac:dyDescent="0.25">
      <c r="A11" s="91">
        <f>IF(UC_DADOS!$B$2=0,"",UC_DADOS!$B$2)</f>
        <v>7041435180</v>
      </c>
      <c r="B11" s="310" t="s">
        <v>687</v>
      </c>
      <c r="C11" s="310" t="s">
        <v>745</v>
      </c>
      <c r="D11" s="310" t="s">
        <v>747</v>
      </c>
      <c r="E11" s="311">
        <v>200</v>
      </c>
      <c r="F11" s="311">
        <v>14</v>
      </c>
      <c r="G11" s="91">
        <f t="shared" si="2"/>
        <v>2800</v>
      </c>
      <c r="H11" s="91">
        <v>0.7</v>
      </c>
      <c r="I11" s="312">
        <v>0</v>
      </c>
      <c r="J11" s="312">
        <v>11</v>
      </c>
      <c r="K11" s="92">
        <v>21.25</v>
      </c>
      <c r="L11" s="138">
        <f t="shared" ref="L11:L18" si="5">I11*J11*K11</f>
        <v>0</v>
      </c>
      <c r="M11" s="91">
        <v>0</v>
      </c>
      <c r="N11" s="92"/>
      <c r="O11" s="138">
        <f t="shared" ref="O11:O18" si="6">J11*K11*N11/765</f>
        <v>0</v>
      </c>
      <c r="P11" s="138">
        <f t="shared" ref="P11:P18" si="7">(I11*J11)/1000</f>
        <v>0</v>
      </c>
      <c r="Q11" s="138">
        <f t="shared" ref="Q11:Q18" si="8">O11*I11</f>
        <v>0</v>
      </c>
      <c r="R11" s="92"/>
      <c r="S11" s="92"/>
      <c r="T11" s="92"/>
      <c r="U11" s="92"/>
      <c r="V11" s="139"/>
      <c r="W11" s="139"/>
      <c r="X11" s="139"/>
      <c r="Y11" s="139"/>
      <c r="Z11" s="139"/>
      <c r="AA11" s="139"/>
      <c r="AB11" s="139"/>
      <c r="AC11" s="139"/>
      <c r="AD11" s="139"/>
      <c r="AE11" s="186"/>
      <c r="AF11" s="186"/>
      <c r="AG11" s="186"/>
    </row>
    <row r="12" spans="1:33" s="313" customFormat="1" x14ac:dyDescent="0.25">
      <c r="A12" s="91">
        <f>IF(UC_DADOS!$B$2=0,"",UC_DADOS!$B$2)</f>
        <v>7041435180</v>
      </c>
      <c r="B12" s="310" t="s">
        <v>687</v>
      </c>
      <c r="C12" s="310" t="s">
        <v>750</v>
      </c>
      <c r="D12" s="310" t="s">
        <v>750</v>
      </c>
      <c r="E12" s="311">
        <v>5500</v>
      </c>
      <c r="F12" s="311">
        <v>8</v>
      </c>
      <c r="G12" s="91">
        <f t="shared" si="2"/>
        <v>44000</v>
      </c>
      <c r="H12" s="91">
        <v>0.7</v>
      </c>
      <c r="I12" s="312">
        <v>1</v>
      </c>
      <c r="J12" s="312">
        <v>11</v>
      </c>
      <c r="K12" s="92">
        <v>21.25</v>
      </c>
      <c r="L12" s="138">
        <f t="shared" si="5"/>
        <v>233.75</v>
      </c>
      <c r="M12" s="91">
        <v>0</v>
      </c>
      <c r="N12" s="92"/>
      <c r="O12" s="138">
        <f t="shared" si="6"/>
        <v>0</v>
      </c>
      <c r="P12" s="138">
        <f t="shared" si="7"/>
        <v>1.0999999999999999E-2</v>
      </c>
      <c r="Q12" s="138">
        <f t="shared" si="8"/>
        <v>0</v>
      </c>
      <c r="R12" s="92"/>
      <c r="S12" s="92"/>
      <c r="T12" s="92"/>
      <c r="U12" s="92"/>
      <c r="V12" s="139"/>
      <c r="W12" s="139"/>
      <c r="X12" s="139"/>
      <c r="Y12" s="139"/>
      <c r="Z12" s="139"/>
      <c r="AA12" s="139"/>
      <c r="AB12" s="139"/>
      <c r="AC12" s="139"/>
      <c r="AD12" s="139"/>
      <c r="AE12" s="186"/>
      <c r="AF12" s="186"/>
      <c r="AG12" s="186"/>
    </row>
    <row r="13" spans="1:33" s="313" customFormat="1" x14ac:dyDescent="0.25">
      <c r="A13" s="91">
        <f>IF(UC_DADOS!$B$2=0,"",UC_DADOS!$B$2)</f>
        <v>7041435180</v>
      </c>
      <c r="B13" s="310" t="s">
        <v>692</v>
      </c>
      <c r="C13" s="310" t="s">
        <v>750</v>
      </c>
      <c r="D13" s="310" t="s">
        <v>750</v>
      </c>
      <c r="E13" s="311">
        <v>5500</v>
      </c>
      <c r="F13" s="311">
        <v>10</v>
      </c>
      <c r="G13" s="91">
        <f t="shared" si="2"/>
        <v>55000</v>
      </c>
      <c r="H13" s="91">
        <v>0.7</v>
      </c>
      <c r="I13" s="312">
        <v>0</v>
      </c>
      <c r="J13" s="312">
        <v>11</v>
      </c>
      <c r="K13" s="92">
        <v>21.25</v>
      </c>
      <c r="L13" s="138">
        <f t="shared" si="5"/>
        <v>0</v>
      </c>
      <c r="M13" s="91">
        <v>0</v>
      </c>
      <c r="N13" s="92"/>
      <c r="O13" s="138">
        <f t="shared" si="6"/>
        <v>0</v>
      </c>
      <c r="P13" s="138">
        <f t="shared" si="7"/>
        <v>0</v>
      </c>
      <c r="Q13" s="138">
        <f t="shared" si="8"/>
        <v>0</v>
      </c>
      <c r="R13" s="92"/>
      <c r="S13" s="92"/>
      <c r="T13" s="92"/>
      <c r="U13" s="92"/>
      <c r="V13" s="139"/>
      <c r="W13" s="139"/>
      <c r="X13" s="139"/>
      <c r="Y13" s="139"/>
      <c r="Z13" s="139"/>
      <c r="AA13" s="139"/>
      <c r="AB13" s="139"/>
      <c r="AC13" s="139"/>
      <c r="AD13" s="139"/>
      <c r="AE13" s="186"/>
      <c r="AF13" s="186"/>
      <c r="AG13" s="186"/>
    </row>
    <row r="14" spans="1:33" s="313" customFormat="1" x14ac:dyDescent="0.25">
      <c r="A14" s="91">
        <f>IF(UC_DADOS!$B$2=0,"",UC_DADOS!$B$2)</f>
        <v>7041435180</v>
      </c>
      <c r="B14" s="310" t="s">
        <v>692</v>
      </c>
      <c r="C14" s="310" t="s">
        <v>745</v>
      </c>
      <c r="D14" s="310" t="s">
        <v>747</v>
      </c>
      <c r="E14" s="311">
        <v>200</v>
      </c>
      <c r="F14" s="311">
        <v>10</v>
      </c>
      <c r="G14" s="91">
        <f t="shared" si="2"/>
        <v>2000</v>
      </c>
      <c r="H14" s="91">
        <v>0.7</v>
      </c>
      <c r="I14" s="312">
        <v>0</v>
      </c>
      <c r="J14" s="312">
        <v>11</v>
      </c>
      <c r="K14" s="92">
        <v>21.25</v>
      </c>
      <c r="L14" s="138">
        <f t="shared" si="5"/>
        <v>0</v>
      </c>
      <c r="M14" s="91">
        <v>0</v>
      </c>
      <c r="N14" s="92"/>
      <c r="O14" s="138">
        <f t="shared" si="6"/>
        <v>0</v>
      </c>
      <c r="P14" s="138">
        <f t="shared" si="7"/>
        <v>0</v>
      </c>
      <c r="Q14" s="138">
        <f t="shared" si="8"/>
        <v>0</v>
      </c>
      <c r="R14" s="92"/>
      <c r="S14" s="92"/>
      <c r="T14" s="92"/>
      <c r="U14" s="92"/>
      <c r="V14" s="139"/>
      <c r="W14" s="139"/>
      <c r="X14" s="139"/>
      <c r="Y14" s="139"/>
      <c r="Z14" s="139"/>
      <c r="AA14" s="139"/>
      <c r="AB14" s="139"/>
      <c r="AC14" s="139"/>
      <c r="AD14" s="139"/>
      <c r="AE14" s="186"/>
      <c r="AF14" s="186"/>
      <c r="AG14" s="186"/>
    </row>
    <row r="15" spans="1:33" s="313" customFormat="1" x14ac:dyDescent="0.25">
      <c r="A15" s="91">
        <f>IF(UC_DADOS!$B$2=0,"",UC_DADOS!$B$2)</f>
        <v>7041435180</v>
      </c>
      <c r="B15" s="310" t="s">
        <v>692</v>
      </c>
      <c r="C15" s="310" t="s">
        <v>745</v>
      </c>
      <c r="D15" s="310" t="s">
        <v>747</v>
      </c>
      <c r="E15" s="311">
        <v>200</v>
      </c>
      <c r="F15" s="311">
        <v>2</v>
      </c>
      <c r="G15" s="91">
        <f t="shared" si="2"/>
        <v>400</v>
      </c>
      <c r="H15" s="91">
        <v>0.7</v>
      </c>
      <c r="I15" s="312">
        <v>4</v>
      </c>
      <c r="J15" s="312">
        <v>11</v>
      </c>
      <c r="K15" s="92">
        <v>21.25</v>
      </c>
      <c r="L15" s="138">
        <f t="shared" si="5"/>
        <v>935</v>
      </c>
      <c r="M15" s="91">
        <v>0</v>
      </c>
      <c r="N15" s="92"/>
      <c r="O15" s="138">
        <f t="shared" si="6"/>
        <v>0</v>
      </c>
      <c r="P15" s="138">
        <f t="shared" si="7"/>
        <v>4.3999999999999997E-2</v>
      </c>
      <c r="Q15" s="138">
        <f t="shared" si="8"/>
        <v>0</v>
      </c>
      <c r="R15" s="92"/>
      <c r="S15" s="92"/>
      <c r="T15" s="92"/>
      <c r="U15" s="92"/>
      <c r="V15" s="139"/>
      <c r="W15" s="139"/>
      <c r="X15" s="139"/>
      <c r="Y15" s="139"/>
      <c r="Z15" s="139"/>
      <c r="AA15" s="139"/>
      <c r="AB15" s="139"/>
      <c r="AC15" s="139"/>
      <c r="AD15" s="139"/>
      <c r="AE15" s="186"/>
      <c r="AF15" s="186"/>
      <c r="AG15" s="186"/>
    </row>
    <row r="16" spans="1:33" s="313" customFormat="1" x14ac:dyDescent="0.25">
      <c r="A16" s="91">
        <f>IF(UC_DADOS!$B$2=0,"",UC_DADOS!$B$2)</f>
        <v>7041435180</v>
      </c>
      <c r="B16" s="310" t="s">
        <v>692</v>
      </c>
      <c r="C16" s="310" t="s">
        <v>751</v>
      </c>
      <c r="D16" s="310" t="s">
        <v>751</v>
      </c>
      <c r="E16" s="311">
        <v>1400</v>
      </c>
      <c r="F16" s="311">
        <v>2</v>
      </c>
      <c r="G16" s="91">
        <f t="shared" si="2"/>
        <v>2800</v>
      </c>
      <c r="H16" s="91">
        <v>0.7</v>
      </c>
      <c r="I16" s="312">
        <v>1</v>
      </c>
      <c r="J16" s="312">
        <v>11</v>
      </c>
      <c r="K16" s="92">
        <v>21.25</v>
      </c>
      <c r="L16" s="138">
        <f t="shared" si="5"/>
        <v>233.75</v>
      </c>
      <c r="M16" s="91">
        <v>0</v>
      </c>
      <c r="N16" s="92"/>
      <c r="O16" s="138">
        <f t="shared" si="6"/>
        <v>0</v>
      </c>
      <c r="P16" s="138">
        <f t="shared" si="7"/>
        <v>1.0999999999999999E-2</v>
      </c>
      <c r="Q16" s="138">
        <f t="shared" si="8"/>
        <v>0</v>
      </c>
      <c r="R16" s="92"/>
      <c r="S16" s="92"/>
      <c r="T16" s="92"/>
      <c r="U16" s="92"/>
      <c r="V16" s="139"/>
      <c r="W16" s="139"/>
      <c r="X16" s="139"/>
      <c r="Y16" s="139"/>
      <c r="Z16" s="139"/>
      <c r="AA16" s="139"/>
      <c r="AB16" s="139"/>
      <c r="AC16" s="139"/>
      <c r="AD16" s="139"/>
      <c r="AE16" s="186"/>
      <c r="AF16" s="186"/>
      <c r="AG16" s="186"/>
    </row>
    <row r="17" spans="1:33" s="313" customFormat="1" x14ac:dyDescent="0.25">
      <c r="A17" s="91">
        <f>IF(UC_DADOS!$B$2=0,"",UC_DADOS!$B$2)</f>
        <v>7041435180</v>
      </c>
      <c r="B17" s="310" t="s">
        <v>658</v>
      </c>
      <c r="C17" s="310" t="s">
        <v>752</v>
      </c>
      <c r="D17" s="310" t="s">
        <v>752</v>
      </c>
      <c r="E17" s="311">
        <v>370</v>
      </c>
      <c r="F17" s="311">
        <v>2</v>
      </c>
      <c r="G17" s="91">
        <f t="shared" si="2"/>
        <v>740</v>
      </c>
      <c r="H17" s="91">
        <v>0.7</v>
      </c>
      <c r="I17" s="312">
        <v>4</v>
      </c>
      <c r="J17" s="312">
        <v>11</v>
      </c>
      <c r="K17" s="92">
        <v>21.25</v>
      </c>
      <c r="L17" s="138">
        <f t="shared" si="5"/>
        <v>935</v>
      </c>
      <c r="M17" s="91">
        <v>0</v>
      </c>
      <c r="N17" s="92"/>
      <c r="O17" s="138">
        <f t="shared" si="6"/>
        <v>0</v>
      </c>
      <c r="P17" s="138">
        <f t="shared" si="7"/>
        <v>4.3999999999999997E-2</v>
      </c>
      <c r="Q17" s="138">
        <f t="shared" si="8"/>
        <v>0</v>
      </c>
      <c r="R17" s="92"/>
      <c r="S17" s="92"/>
      <c r="T17" s="92"/>
      <c r="U17" s="92"/>
      <c r="V17" s="139"/>
      <c r="W17" s="139"/>
      <c r="X17" s="139"/>
      <c r="Y17" s="139"/>
      <c r="Z17" s="139"/>
      <c r="AA17" s="139"/>
      <c r="AB17" s="139"/>
      <c r="AC17" s="139"/>
      <c r="AD17" s="139"/>
      <c r="AE17" s="186"/>
      <c r="AF17" s="186"/>
      <c r="AG17" s="186"/>
    </row>
    <row r="18" spans="1:33" s="313" customFormat="1" x14ac:dyDescent="0.25">
      <c r="A18" s="91">
        <f>IF(UC_DADOS!$B$2=0,"",UC_DADOS!$B$2)</f>
        <v>7041435180</v>
      </c>
      <c r="B18" s="310" t="s">
        <v>658</v>
      </c>
      <c r="C18" s="310" t="s">
        <v>753</v>
      </c>
      <c r="D18" s="310" t="s">
        <v>753</v>
      </c>
      <c r="E18" s="311">
        <v>200</v>
      </c>
      <c r="F18" s="311">
        <v>1</v>
      </c>
      <c r="G18" s="91">
        <f t="shared" si="2"/>
        <v>200</v>
      </c>
      <c r="H18" s="91">
        <v>0.7</v>
      </c>
      <c r="I18" s="312">
        <v>3</v>
      </c>
      <c r="J18" s="312">
        <v>11</v>
      </c>
      <c r="K18" s="92">
        <v>21.25</v>
      </c>
      <c r="L18" s="138">
        <f t="shared" si="5"/>
        <v>701.25</v>
      </c>
      <c r="M18" s="91">
        <v>0</v>
      </c>
      <c r="N18" s="92"/>
      <c r="O18" s="138">
        <f t="shared" si="6"/>
        <v>0</v>
      </c>
      <c r="P18" s="138">
        <f t="shared" si="7"/>
        <v>3.3000000000000002E-2</v>
      </c>
      <c r="Q18" s="138">
        <f t="shared" si="8"/>
        <v>0</v>
      </c>
      <c r="R18" s="92"/>
      <c r="S18" s="92"/>
      <c r="T18" s="92"/>
      <c r="U18" s="92"/>
      <c r="V18" s="139"/>
      <c r="W18" s="139"/>
      <c r="X18" s="139"/>
      <c r="Y18" s="139"/>
      <c r="Z18" s="139"/>
      <c r="AA18" s="139"/>
      <c r="AB18" s="139"/>
      <c r="AC18" s="139"/>
      <c r="AD18" s="139"/>
      <c r="AE18" s="186"/>
      <c r="AF18" s="186"/>
      <c r="AG18" s="186"/>
    </row>
    <row r="19" spans="1:33" x14ac:dyDescent="0.25">
      <c r="A19" s="303"/>
      <c r="B19" s="303"/>
      <c r="C19" s="303"/>
      <c r="D19" s="303"/>
      <c r="E19" s="304"/>
      <c r="F19" s="305">
        <f>SUM(F3:F18)</f>
        <v>65</v>
      </c>
      <c r="G19" s="306">
        <f>SUM(G3:G18)</f>
        <v>154840</v>
      </c>
      <c r="H19" s="306"/>
      <c r="I19" s="306">
        <f>SUM(I3:I18)</f>
        <v>14</v>
      </c>
      <c r="J19" s="304"/>
      <c r="K19" s="304"/>
      <c r="L19" s="304"/>
      <c r="M19" s="304"/>
      <c r="N19" s="304"/>
      <c r="O19" s="304"/>
      <c r="P19" s="306">
        <f>SUM(P3:P18)</f>
        <v>0.154</v>
      </c>
      <c r="Q19" s="306">
        <f>SUM(Q3:Q10)</f>
        <v>0</v>
      </c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</row>
  </sheetData>
  <mergeCells count="4">
    <mergeCell ref="D1:Q1"/>
    <mergeCell ref="AE1:AG1"/>
    <mergeCell ref="R1:AD1"/>
    <mergeCell ref="A1:C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79"/>
  <sheetViews>
    <sheetView topLeftCell="A44" zoomScale="85" zoomScaleNormal="85" workbookViewId="0">
      <selection activeCell="D58" sqref="D58"/>
    </sheetView>
  </sheetViews>
  <sheetFormatPr defaultRowHeight="15" x14ac:dyDescent="0.25"/>
  <cols>
    <col min="3" max="3" width="46.7109375" customWidth="1"/>
    <col min="4" max="4" width="26.7109375" customWidth="1"/>
    <col min="7" max="7" width="46.7109375" customWidth="1"/>
    <col min="8" max="8" width="26.7109375" customWidth="1"/>
  </cols>
  <sheetData>
    <row r="2" spans="3:8" ht="15.75" customHeight="1" thickBot="1" x14ac:dyDescent="0.3"/>
    <row r="3" spans="3:8" ht="15.75" customHeight="1" thickBot="1" x14ac:dyDescent="0.3">
      <c r="C3" s="433" t="s">
        <v>754</v>
      </c>
      <c r="D3" s="434"/>
      <c r="E3" s="328"/>
      <c r="F3" s="328"/>
      <c r="G3" s="433" t="s">
        <v>755</v>
      </c>
      <c r="H3" s="434"/>
    </row>
    <row r="4" spans="3:8" ht="15.75" customHeight="1" thickBot="1" x14ac:dyDescent="0.3">
      <c r="C4" s="433" t="s">
        <v>756</v>
      </c>
      <c r="D4" s="434"/>
      <c r="E4" s="328"/>
      <c r="F4" s="328"/>
      <c r="G4" s="433" t="s">
        <v>756</v>
      </c>
      <c r="H4" s="434"/>
    </row>
    <row r="5" spans="3:8" ht="27" customHeight="1" x14ac:dyDescent="0.25">
      <c r="C5" s="435" t="s">
        <v>757</v>
      </c>
      <c r="D5" s="436"/>
      <c r="E5" s="328"/>
      <c r="F5" s="328"/>
      <c r="G5" s="435" t="s">
        <v>758</v>
      </c>
      <c r="H5" s="436"/>
    </row>
    <row r="6" spans="3:8" x14ac:dyDescent="0.25">
      <c r="C6" s="197" t="s">
        <v>759</v>
      </c>
      <c r="D6" s="223">
        <f>'Sistemas de Iluminação'!J24</f>
        <v>2.5949999999999998</v>
      </c>
      <c r="E6" s="328"/>
      <c r="F6" s="328"/>
      <c r="G6" s="197" t="s">
        <v>759</v>
      </c>
      <c r="H6" s="223">
        <f>'Sistemas de Refrigeração'!J10</f>
        <v>0.6169</v>
      </c>
    </row>
    <row r="7" spans="3:8" x14ac:dyDescent="0.25">
      <c r="C7" s="197" t="s">
        <v>760</v>
      </c>
      <c r="D7" s="223">
        <f>'Sistemas de Iluminação'!Q24</f>
        <v>4.2745437500000003</v>
      </c>
      <c r="E7" s="328"/>
      <c r="F7" s="328"/>
      <c r="G7" s="197" t="s">
        <v>760</v>
      </c>
      <c r="H7" s="223">
        <f>'Sistemas de Refrigeração'!R10</f>
        <v>5.3300160000000005</v>
      </c>
    </row>
    <row r="8" spans="3:8" ht="15.75" customHeight="1" thickBot="1" x14ac:dyDescent="0.3">
      <c r="C8" s="199" t="s">
        <v>761</v>
      </c>
      <c r="D8" s="200">
        <f>(D7*'Análise Econômica'!E4)/12</f>
        <v>704.20601769805808</v>
      </c>
      <c r="E8" s="328"/>
      <c r="F8" s="328"/>
      <c r="G8" s="199" t="s">
        <v>761</v>
      </c>
      <c r="H8" s="200">
        <f>(H7*'Análise Econômica'!E4)/12</f>
        <v>878.08888179631629</v>
      </c>
    </row>
    <row r="9" spans="3:8" ht="15.75" customHeight="1" thickBot="1" x14ac:dyDescent="0.3">
      <c r="C9" s="433" t="s">
        <v>762</v>
      </c>
      <c r="D9" s="434"/>
      <c r="E9" s="328"/>
      <c r="F9" s="328"/>
      <c r="G9" s="433" t="s">
        <v>762</v>
      </c>
      <c r="H9" s="434"/>
    </row>
    <row r="10" spans="3:8" ht="27" customHeight="1" x14ac:dyDescent="0.25">
      <c r="C10" s="435" t="s">
        <v>763</v>
      </c>
      <c r="D10" s="436"/>
      <c r="E10" s="328"/>
      <c r="F10" s="328"/>
      <c r="G10" s="435" t="s">
        <v>764</v>
      </c>
      <c r="H10" s="436"/>
    </row>
    <row r="11" spans="3:8" x14ac:dyDescent="0.25">
      <c r="C11" s="197" t="s">
        <v>759</v>
      </c>
      <c r="D11" s="223">
        <f>'Sistemas de Iluminação'!X24</f>
        <v>6.5170000000000012</v>
      </c>
      <c r="E11" s="328"/>
      <c r="F11" s="328"/>
      <c r="G11" s="197" t="s">
        <v>759</v>
      </c>
      <c r="H11" s="223">
        <f>'Sistemas de Refrigeração'!X10</f>
        <v>0.6079</v>
      </c>
    </row>
    <row r="12" spans="3:8" x14ac:dyDescent="0.25">
      <c r="C12" s="197" t="s">
        <v>760</v>
      </c>
      <c r="D12" s="223">
        <f>'Sistemas de Iluminação'!AD24</f>
        <v>8.1315674999999992</v>
      </c>
      <c r="E12" s="328"/>
      <c r="F12" s="328"/>
      <c r="G12" s="197" t="s">
        <v>760</v>
      </c>
      <c r="H12" s="223">
        <f>'Sistemas de Refrigeração'!AF10</f>
        <v>5.2522560000000009</v>
      </c>
    </row>
    <row r="13" spans="3:8" ht="15.75" customHeight="1" thickBot="1" x14ac:dyDescent="0.3">
      <c r="C13" s="199" t="s">
        <v>765</v>
      </c>
      <c r="D13" s="200"/>
      <c r="E13" s="328"/>
      <c r="F13" s="328"/>
      <c r="G13" s="199" t="s">
        <v>765</v>
      </c>
      <c r="H13" s="200">
        <f>(H12*'Análise Econômica'!E4)/12</f>
        <v>865.27837776621936</v>
      </c>
    </row>
    <row r="14" spans="3:8" ht="15.75" customHeight="1" thickBot="1" x14ac:dyDescent="0.3">
      <c r="C14" s="433" t="s">
        <v>766</v>
      </c>
      <c r="D14" s="434"/>
      <c r="E14" s="328"/>
      <c r="F14" s="328"/>
      <c r="G14" s="433" t="s">
        <v>766</v>
      </c>
      <c r="H14" s="434"/>
    </row>
    <row r="15" spans="3:8" x14ac:dyDescent="0.25">
      <c r="C15" s="201" t="s">
        <v>767</v>
      </c>
      <c r="D15" s="202"/>
      <c r="E15" s="328"/>
      <c r="F15" s="328"/>
      <c r="G15" s="201" t="s">
        <v>767</v>
      </c>
      <c r="H15" s="224">
        <f>H6-H11</f>
        <v>9.000000000000008E-3</v>
      </c>
    </row>
    <row r="16" spans="3:8" x14ac:dyDescent="0.25">
      <c r="C16" s="197" t="s">
        <v>768</v>
      </c>
      <c r="D16" s="198"/>
      <c r="E16" s="328"/>
      <c r="F16" s="328"/>
      <c r="G16" s="197" t="s">
        <v>768</v>
      </c>
      <c r="H16" s="223">
        <f>H7-H12</f>
        <v>7.7759999999999607E-2</v>
      </c>
    </row>
    <row r="17" spans="3:8" x14ac:dyDescent="0.25">
      <c r="C17" s="197" t="s">
        <v>769</v>
      </c>
      <c r="D17" s="203"/>
      <c r="E17" s="328"/>
      <c r="F17" s="328"/>
      <c r="G17" s="197" t="s">
        <v>769</v>
      </c>
      <c r="H17" s="203">
        <f>H16/H7</f>
        <v>1.4589074404279386E-2</v>
      </c>
    </row>
    <row r="18" spans="3:8" x14ac:dyDescent="0.25">
      <c r="C18" s="197" t="s">
        <v>770</v>
      </c>
      <c r="D18" s="204"/>
      <c r="E18" s="328"/>
      <c r="F18" s="328"/>
      <c r="G18" s="197" t="s">
        <v>770</v>
      </c>
      <c r="H18" s="204">
        <f>H8-H13</f>
        <v>12.810504030096922</v>
      </c>
    </row>
    <row r="19" spans="3:8" ht="15.75" customHeight="1" thickBot="1" x14ac:dyDescent="0.3">
      <c r="C19" s="205" t="s">
        <v>771</v>
      </c>
      <c r="D19" s="206"/>
      <c r="E19" s="328"/>
      <c r="F19" s="328"/>
      <c r="G19" s="205" t="s">
        <v>771</v>
      </c>
      <c r="H19" s="206">
        <f>'Análise Econômica'!B59</f>
        <v>0</v>
      </c>
    </row>
    <row r="22" spans="3:8" ht="15.75" customHeight="1" thickBot="1" x14ac:dyDescent="0.3">
      <c r="C22" s="328"/>
      <c r="D22" s="328"/>
      <c r="E22" s="328"/>
      <c r="F22" s="328"/>
      <c r="G22" s="328"/>
      <c r="H22" s="328"/>
    </row>
    <row r="23" spans="3:8" ht="15.75" customHeight="1" thickBot="1" x14ac:dyDescent="0.3">
      <c r="C23" s="433" t="s">
        <v>772</v>
      </c>
      <c r="D23" s="434"/>
      <c r="E23" s="328"/>
      <c r="F23" s="328"/>
      <c r="G23" s="433" t="s">
        <v>773</v>
      </c>
      <c r="H23" s="434"/>
    </row>
    <row r="24" spans="3:8" ht="15.75" customHeight="1" thickBot="1" x14ac:dyDescent="0.3">
      <c r="C24" s="433" t="s">
        <v>756</v>
      </c>
      <c r="D24" s="434"/>
      <c r="E24" s="328"/>
      <c r="F24" s="328"/>
      <c r="G24" s="433" t="s">
        <v>756</v>
      </c>
      <c r="H24" s="434"/>
    </row>
    <row r="25" spans="3:8" ht="27" customHeight="1" x14ac:dyDescent="0.25">
      <c r="C25" s="435" t="s">
        <v>774</v>
      </c>
      <c r="D25" s="436"/>
      <c r="E25" s="328"/>
      <c r="F25" s="328"/>
      <c r="G25" s="435"/>
      <c r="H25" s="436"/>
    </row>
    <row r="26" spans="3:8" x14ac:dyDescent="0.25">
      <c r="C26" s="197" t="s">
        <v>759</v>
      </c>
      <c r="D26" s="223">
        <f>'Sistemas de Cond. Ambiental'!L9</f>
        <v>22.949890909090907</v>
      </c>
      <c r="E26" s="328"/>
      <c r="F26" s="328"/>
      <c r="G26" s="197" t="s">
        <v>759</v>
      </c>
      <c r="H26" s="198"/>
    </row>
    <row r="27" spans="3:8" x14ac:dyDescent="0.25">
      <c r="C27" s="197" t="s">
        <v>760</v>
      </c>
      <c r="D27" s="223">
        <f>'Sistemas de Cond. Ambiental'!S9</f>
        <v>38.194307999999999</v>
      </c>
      <c r="E27" s="328"/>
      <c r="F27" s="328"/>
      <c r="G27" s="197" t="s">
        <v>760</v>
      </c>
      <c r="H27" s="198"/>
    </row>
    <row r="28" spans="3:8" ht="15.75" customHeight="1" thickBot="1" x14ac:dyDescent="0.3">
      <c r="C28" s="199" t="s">
        <v>761</v>
      </c>
      <c r="D28" s="200">
        <f>(D27*'Análise Econômica'!E4)/12</f>
        <v>6292.2882788164416</v>
      </c>
      <c r="E28" s="328"/>
      <c r="F28" s="328"/>
      <c r="G28" s="199" t="s">
        <v>761</v>
      </c>
      <c r="H28" s="200"/>
    </row>
    <row r="29" spans="3:8" ht="15.75" customHeight="1" thickBot="1" x14ac:dyDescent="0.3">
      <c r="C29" s="433" t="s">
        <v>762</v>
      </c>
      <c r="D29" s="434"/>
      <c r="E29" s="328"/>
      <c r="F29" s="328"/>
      <c r="G29" s="433" t="s">
        <v>762</v>
      </c>
      <c r="H29" s="434"/>
    </row>
    <row r="30" spans="3:8" ht="27" customHeight="1" x14ac:dyDescent="0.25">
      <c r="C30" s="435" t="s">
        <v>775</v>
      </c>
      <c r="D30" s="436"/>
      <c r="E30" s="328"/>
      <c r="F30" s="328"/>
      <c r="G30" s="435"/>
      <c r="H30" s="436"/>
    </row>
    <row r="31" spans="3:8" x14ac:dyDescent="0.25">
      <c r="C31" s="197" t="s">
        <v>759</v>
      </c>
      <c r="D31" s="223">
        <f>'Sistemas de Cond. Ambiental'!AC9</f>
        <v>21.323211391018617</v>
      </c>
      <c r="E31" s="328"/>
      <c r="F31" s="328"/>
      <c r="G31" s="197" t="s">
        <v>759</v>
      </c>
      <c r="H31" s="198"/>
    </row>
    <row r="32" spans="3:8" x14ac:dyDescent="0.25">
      <c r="C32" s="197" t="s">
        <v>760</v>
      </c>
      <c r="D32" s="223">
        <f>'Sistemas de Cond. Ambiental'!AJ9</f>
        <v>35.705488337349394</v>
      </c>
      <c r="E32" s="328"/>
      <c r="F32" s="328"/>
      <c r="G32" s="197" t="s">
        <v>760</v>
      </c>
      <c r="H32" s="198"/>
    </row>
    <row r="33" spans="3:8" ht="15.75" customHeight="1" thickBot="1" x14ac:dyDescent="0.3">
      <c r="C33" s="199" t="s">
        <v>765</v>
      </c>
      <c r="D33" s="200">
        <f>(D32*'Análise Econômica'!E4)/12</f>
        <v>5882.2698333615772</v>
      </c>
      <c r="E33" s="328"/>
      <c r="F33" s="328"/>
      <c r="G33" s="199" t="s">
        <v>765</v>
      </c>
      <c r="H33" s="200"/>
    </row>
    <row r="34" spans="3:8" ht="15.75" customHeight="1" thickBot="1" x14ac:dyDescent="0.3">
      <c r="C34" s="433" t="s">
        <v>766</v>
      </c>
      <c r="D34" s="434"/>
      <c r="E34" s="328"/>
      <c r="F34" s="328"/>
      <c r="G34" s="433" t="s">
        <v>766</v>
      </c>
      <c r="H34" s="434"/>
    </row>
    <row r="35" spans="3:8" x14ac:dyDescent="0.25">
      <c r="C35" s="201" t="s">
        <v>767</v>
      </c>
      <c r="D35" s="224">
        <f>D26-D31</f>
        <v>1.6266795180722902</v>
      </c>
      <c r="E35" s="328"/>
      <c r="F35" s="328"/>
      <c r="G35" s="201" t="s">
        <v>767</v>
      </c>
      <c r="H35" s="202"/>
    </row>
    <row r="36" spans="3:8" x14ac:dyDescent="0.25">
      <c r="C36" s="197" t="s">
        <v>768</v>
      </c>
      <c r="D36" s="223">
        <f>D27-D32</f>
        <v>2.4888196626506058</v>
      </c>
      <c r="E36" s="328"/>
      <c r="F36" s="328"/>
      <c r="G36" s="197" t="s">
        <v>768</v>
      </c>
      <c r="H36" s="198"/>
    </row>
    <row r="37" spans="3:8" x14ac:dyDescent="0.25">
      <c r="C37" s="197" t="s">
        <v>769</v>
      </c>
      <c r="D37" s="203">
        <f>D36/D27</f>
        <v>6.5162056677413968E-2</v>
      </c>
      <c r="E37" s="328"/>
      <c r="F37" s="328"/>
      <c r="G37" s="197" t="s">
        <v>769</v>
      </c>
      <c r="H37" s="203"/>
    </row>
    <row r="38" spans="3:8" x14ac:dyDescent="0.25">
      <c r="C38" s="197" t="s">
        <v>770</v>
      </c>
      <c r="D38" s="204">
        <f>D28-D33</f>
        <v>410.01844545486438</v>
      </c>
      <c r="E38" s="328"/>
      <c r="F38" s="328"/>
      <c r="G38" s="197" t="s">
        <v>770</v>
      </c>
      <c r="H38" s="204"/>
    </row>
    <row r="39" spans="3:8" ht="15.75" customHeight="1" thickBot="1" x14ac:dyDescent="0.3">
      <c r="C39" s="205" t="s">
        <v>771</v>
      </c>
      <c r="D39" s="227">
        <f>'Análise Econômica'!Q29</f>
        <v>17182</v>
      </c>
      <c r="E39" s="328"/>
      <c r="F39" s="328"/>
      <c r="G39" s="205" t="s">
        <v>771</v>
      </c>
      <c r="H39" s="206"/>
    </row>
    <row r="40" spans="3:8" x14ac:dyDescent="0.25">
      <c r="C40" s="328"/>
      <c r="D40" s="208" t="s">
        <v>776</v>
      </c>
      <c r="E40" s="328"/>
      <c r="F40" s="328"/>
      <c r="G40" s="328"/>
      <c r="H40" s="328"/>
    </row>
    <row r="42" spans="3:8" ht="15.75" customHeight="1" thickBot="1" x14ac:dyDescent="0.3">
      <c r="C42" s="328"/>
      <c r="D42" s="328"/>
      <c r="E42" s="328"/>
      <c r="F42" s="328"/>
      <c r="G42" s="328"/>
      <c r="H42" s="328"/>
    </row>
    <row r="43" spans="3:8" ht="15.75" customHeight="1" thickBot="1" x14ac:dyDescent="0.3">
      <c r="C43" s="433" t="s">
        <v>772</v>
      </c>
      <c r="D43" s="434"/>
      <c r="E43" s="328"/>
      <c r="F43" s="328"/>
      <c r="G43" s="433" t="s">
        <v>777</v>
      </c>
      <c r="H43" s="434"/>
    </row>
    <row r="44" spans="3:8" ht="15.75" customHeight="1" thickBot="1" x14ac:dyDescent="0.3">
      <c r="C44" s="433" t="s">
        <v>756</v>
      </c>
      <c r="D44" s="434"/>
      <c r="E44" s="328"/>
      <c r="F44" s="328"/>
      <c r="G44" s="433" t="s">
        <v>756</v>
      </c>
      <c r="H44" s="434"/>
    </row>
    <row r="45" spans="3:8" ht="27" customHeight="1" x14ac:dyDescent="0.25">
      <c r="C45" s="435" t="s">
        <v>778</v>
      </c>
      <c r="D45" s="436"/>
      <c r="E45" s="328"/>
      <c r="F45" s="328"/>
      <c r="G45" s="435" t="s">
        <v>779</v>
      </c>
      <c r="H45" s="436"/>
    </row>
    <row r="46" spans="3:8" x14ac:dyDescent="0.25">
      <c r="C46" s="197" t="s">
        <v>759</v>
      </c>
      <c r="D46" s="223">
        <f>'Sistemas de Cond. Ambiental'!L9</f>
        <v>22.949890909090907</v>
      </c>
      <c r="E46" s="328"/>
      <c r="F46" s="328"/>
      <c r="G46" s="197" t="s">
        <v>759</v>
      </c>
      <c r="H46" s="198"/>
    </row>
    <row r="47" spans="3:8" x14ac:dyDescent="0.25">
      <c r="C47" s="197" t="s">
        <v>760</v>
      </c>
      <c r="D47" s="223">
        <f>'Sistemas de Cond. Ambiental'!S9</f>
        <v>38.194307999999999</v>
      </c>
      <c r="E47" s="328"/>
      <c r="F47" s="328"/>
      <c r="G47" s="197" t="s">
        <v>760</v>
      </c>
      <c r="H47" s="198"/>
    </row>
    <row r="48" spans="3:8" ht="15.75" customHeight="1" thickBot="1" x14ac:dyDescent="0.3">
      <c r="C48" s="199" t="s">
        <v>761</v>
      </c>
      <c r="D48" s="200">
        <f>(D47*'Análise Econômica'!E4)/12</f>
        <v>6292.2882788164416</v>
      </c>
      <c r="E48" s="328"/>
      <c r="F48" s="328"/>
      <c r="G48" s="199" t="s">
        <v>761</v>
      </c>
      <c r="H48" s="200"/>
    </row>
    <row r="49" spans="3:8" ht="15.75" customHeight="1" thickBot="1" x14ac:dyDescent="0.3">
      <c r="C49" s="433" t="s">
        <v>762</v>
      </c>
      <c r="D49" s="434"/>
      <c r="E49" s="328"/>
      <c r="F49" s="328"/>
      <c r="G49" s="433" t="s">
        <v>762</v>
      </c>
      <c r="H49" s="434"/>
    </row>
    <row r="50" spans="3:8" ht="27" customHeight="1" x14ac:dyDescent="0.25">
      <c r="C50" s="435" t="s">
        <v>780</v>
      </c>
      <c r="D50" s="436"/>
      <c r="E50" s="328"/>
      <c r="F50" s="328"/>
      <c r="G50" s="435" t="s">
        <v>781</v>
      </c>
      <c r="H50" s="436"/>
    </row>
    <row r="51" spans="3:8" x14ac:dyDescent="0.25">
      <c r="C51" s="197" t="s">
        <v>759</v>
      </c>
      <c r="D51" s="223">
        <f>'Sistemas de Cond. Ambiental'!AC9</f>
        <v>21.323211391018617</v>
      </c>
      <c r="E51" s="328"/>
      <c r="F51" s="328"/>
      <c r="G51" s="197" t="s">
        <v>759</v>
      </c>
      <c r="H51" s="198"/>
    </row>
    <row r="52" spans="3:8" x14ac:dyDescent="0.25">
      <c r="C52" s="197" t="s">
        <v>760</v>
      </c>
      <c r="D52" s="223">
        <f>'Sistemas de Cond. Ambiental'!AQ9</f>
        <v>32.134939503614461</v>
      </c>
      <c r="E52" s="328"/>
      <c r="F52" s="328"/>
      <c r="G52" s="197" t="s">
        <v>760</v>
      </c>
      <c r="H52" s="198"/>
    </row>
    <row r="53" spans="3:8" ht="15.75" customHeight="1" thickBot="1" x14ac:dyDescent="0.3">
      <c r="C53" s="199" t="s">
        <v>765</v>
      </c>
      <c r="D53" s="200">
        <f>(D52*'Análise Econômica'!E4)/12</f>
        <v>5294.0428500254202</v>
      </c>
      <c r="E53" s="328"/>
      <c r="F53" s="328"/>
      <c r="G53" s="199" t="s">
        <v>765</v>
      </c>
      <c r="H53" s="200"/>
    </row>
    <row r="54" spans="3:8" ht="15.75" customHeight="1" thickBot="1" x14ac:dyDescent="0.3">
      <c r="C54" s="433" t="s">
        <v>766</v>
      </c>
      <c r="D54" s="434"/>
      <c r="E54" s="328"/>
      <c r="F54" s="328"/>
      <c r="G54" s="433" t="s">
        <v>766</v>
      </c>
      <c r="H54" s="434"/>
    </row>
    <row r="55" spans="3:8" x14ac:dyDescent="0.25">
      <c r="C55" s="201" t="s">
        <v>767</v>
      </c>
      <c r="D55" s="224">
        <f>D46-D51</f>
        <v>1.6266795180722902</v>
      </c>
      <c r="E55" s="328"/>
      <c r="F55" s="328"/>
      <c r="G55" s="201" t="s">
        <v>767</v>
      </c>
      <c r="H55" s="202"/>
    </row>
    <row r="56" spans="3:8" x14ac:dyDescent="0.25">
      <c r="C56" s="197" t="s">
        <v>768</v>
      </c>
      <c r="D56" s="223">
        <f>D47-D52</f>
        <v>6.0593684963855381</v>
      </c>
      <c r="E56" s="328"/>
      <c r="F56" s="328"/>
      <c r="G56" s="197" t="s">
        <v>768</v>
      </c>
      <c r="H56" s="198"/>
    </row>
    <row r="57" spans="3:8" x14ac:dyDescent="0.25">
      <c r="C57" s="197" t="s">
        <v>769</v>
      </c>
      <c r="D57" s="203">
        <f>D56/D47</f>
        <v>0.15864585100967238</v>
      </c>
      <c r="E57" s="328"/>
      <c r="F57" s="328"/>
      <c r="G57" s="197" t="s">
        <v>769</v>
      </c>
      <c r="H57" s="203"/>
    </row>
    <row r="58" spans="3:8" x14ac:dyDescent="0.25">
      <c r="C58" s="197" t="s">
        <v>770</v>
      </c>
      <c r="D58" s="204">
        <f>D48-D53</f>
        <v>998.24542879102137</v>
      </c>
      <c r="E58" s="328"/>
      <c r="F58" s="328"/>
      <c r="G58" s="197" t="s">
        <v>770</v>
      </c>
      <c r="H58" s="204"/>
    </row>
    <row r="59" spans="3:8" ht="15.75" customHeight="1" thickBot="1" x14ac:dyDescent="0.3">
      <c r="C59" s="205" t="s">
        <v>771</v>
      </c>
      <c r="D59" s="206">
        <f>'Análise Econômica'!B29</f>
        <v>22857.3</v>
      </c>
      <c r="E59" s="328"/>
      <c r="F59" s="328"/>
      <c r="G59" s="205" t="s">
        <v>771</v>
      </c>
      <c r="H59" s="206"/>
    </row>
    <row r="62" spans="3:8" ht="15.75" customHeight="1" thickBot="1" x14ac:dyDescent="0.3">
      <c r="C62" s="328"/>
      <c r="D62" s="328"/>
      <c r="E62" s="328"/>
      <c r="F62" s="328"/>
      <c r="G62" s="328"/>
      <c r="H62" s="328"/>
    </row>
    <row r="63" spans="3:8" ht="15.75" customHeight="1" thickBot="1" x14ac:dyDescent="0.3">
      <c r="C63" s="433" t="s">
        <v>772</v>
      </c>
      <c r="D63" s="434"/>
      <c r="E63" s="328"/>
      <c r="F63" s="328"/>
      <c r="G63" s="433" t="s">
        <v>782</v>
      </c>
      <c r="H63" s="434"/>
    </row>
    <row r="64" spans="3:8" ht="15.75" customHeight="1" thickBot="1" x14ac:dyDescent="0.3">
      <c r="C64" s="433" t="s">
        <v>756</v>
      </c>
      <c r="D64" s="434"/>
      <c r="E64" s="328"/>
      <c r="F64" s="328"/>
      <c r="G64" s="433" t="s">
        <v>756</v>
      </c>
      <c r="H64" s="434"/>
    </row>
    <row r="65" spans="3:8" ht="27" customHeight="1" x14ac:dyDescent="0.25">
      <c r="C65" s="435" t="s">
        <v>783</v>
      </c>
      <c r="D65" s="436"/>
      <c r="E65" s="328"/>
      <c r="F65" s="328"/>
      <c r="G65" s="435"/>
      <c r="H65" s="436"/>
    </row>
    <row r="66" spans="3:8" x14ac:dyDescent="0.25">
      <c r="C66" s="197" t="s">
        <v>759</v>
      </c>
      <c r="D66" s="223">
        <f>'Sistemas de Cond. Ambiental'!L9</f>
        <v>22.949890909090907</v>
      </c>
      <c r="E66" s="328"/>
      <c r="F66" s="328"/>
      <c r="G66" s="197" t="s">
        <v>759</v>
      </c>
      <c r="H66" s="198"/>
    </row>
    <row r="67" spans="3:8" x14ac:dyDescent="0.25">
      <c r="C67" s="197" t="s">
        <v>760</v>
      </c>
      <c r="D67" s="223">
        <f>'Sistemas de Cond. Ambiental'!S9</f>
        <v>38.194307999999999</v>
      </c>
      <c r="E67" s="328"/>
      <c r="F67" s="328"/>
      <c r="G67" s="197" t="s">
        <v>760</v>
      </c>
      <c r="H67" s="198"/>
    </row>
    <row r="68" spans="3:8" ht="15.75" customHeight="1" thickBot="1" x14ac:dyDescent="0.3">
      <c r="C68" s="199" t="s">
        <v>761</v>
      </c>
      <c r="D68" s="200">
        <f>(D67*'Análise Econômica'!E4)/12</f>
        <v>6292.2882788164416</v>
      </c>
      <c r="E68" s="328"/>
      <c r="F68" s="328"/>
      <c r="G68" s="199" t="s">
        <v>761</v>
      </c>
      <c r="H68" s="200"/>
    </row>
    <row r="69" spans="3:8" ht="15.75" customHeight="1" thickBot="1" x14ac:dyDescent="0.3">
      <c r="C69" s="433" t="s">
        <v>762</v>
      </c>
      <c r="D69" s="434"/>
      <c r="E69" s="328"/>
      <c r="F69" s="328"/>
      <c r="G69" s="433" t="s">
        <v>762</v>
      </c>
      <c r="H69" s="434"/>
    </row>
    <row r="70" spans="3:8" ht="27" customHeight="1" x14ac:dyDescent="0.25">
      <c r="C70" s="435" t="s">
        <v>763</v>
      </c>
      <c r="D70" s="436"/>
      <c r="E70" s="328"/>
      <c r="F70" s="328"/>
      <c r="G70" s="435"/>
      <c r="H70" s="436"/>
    </row>
    <row r="71" spans="3:8" x14ac:dyDescent="0.25">
      <c r="C71" s="197" t="s">
        <v>759</v>
      </c>
      <c r="D71" s="223">
        <f>'Sistemas de Cond. Ambiental'!L9</f>
        <v>22.949890909090907</v>
      </c>
      <c r="E71" s="328"/>
      <c r="F71" s="328"/>
      <c r="G71" s="197" t="s">
        <v>759</v>
      </c>
      <c r="H71" s="198"/>
    </row>
    <row r="72" spans="3:8" x14ac:dyDescent="0.25">
      <c r="C72" s="197" t="s">
        <v>760</v>
      </c>
      <c r="D72" s="223">
        <f>'Sistemas de Cond. Ambiental'!AP9</f>
        <v>34.3748772</v>
      </c>
      <c r="E72" s="328"/>
      <c r="F72" s="328"/>
      <c r="G72" s="197" t="s">
        <v>760</v>
      </c>
      <c r="H72" s="198"/>
    </row>
    <row r="73" spans="3:8" ht="15.75" customHeight="1" thickBot="1" x14ac:dyDescent="0.3">
      <c r="C73" s="199" t="s">
        <v>765</v>
      </c>
      <c r="D73" s="200">
        <f>(D72*'Análise Econômica'!E4)/12</f>
        <v>5663.0594509347975</v>
      </c>
      <c r="E73" s="328"/>
      <c r="F73" s="328"/>
      <c r="G73" s="199" t="s">
        <v>765</v>
      </c>
      <c r="H73" s="200"/>
    </row>
    <row r="74" spans="3:8" ht="15.75" customHeight="1" thickBot="1" x14ac:dyDescent="0.3">
      <c r="C74" s="433" t="s">
        <v>766</v>
      </c>
      <c r="D74" s="434"/>
      <c r="E74" s="328"/>
      <c r="F74" s="328"/>
      <c r="G74" s="433" t="s">
        <v>766</v>
      </c>
      <c r="H74" s="434"/>
    </row>
    <row r="75" spans="3:8" x14ac:dyDescent="0.25">
      <c r="C75" s="201" t="s">
        <v>767</v>
      </c>
      <c r="D75" s="224">
        <f>D66-D71</f>
        <v>0</v>
      </c>
      <c r="E75" s="328"/>
      <c r="F75" s="328"/>
      <c r="G75" s="201" t="s">
        <v>767</v>
      </c>
      <c r="H75" s="202"/>
    </row>
    <row r="76" spans="3:8" x14ac:dyDescent="0.25">
      <c r="C76" s="197" t="s">
        <v>768</v>
      </c>
      <c r="D76" s="223">
        <f>D67-D72</f>
        <v>3.8194307999999992</v>
      </c>
      <c r="E76" s="328"/>
      <c r="F76" s="328"/>
      <c r="G76" s="197" t="s">
        <v>768</v>
      </c>
      <c r="H76" s="198"/>
    </row>
    <row r="77" spans="3:8" x14ac:dyDescent="0.25">
      <c r="C77" s="197" t="s">
        <v>769</v>
      </c>
      <c r="D77" s="203">
        <f>D76/D67</f>
        <v>9.9999999999999978E-2</v>
      </c>
      <c r="E77" s="328"/>
      <c r="F77" s="328"/>
      <c r="G77" s="197" t="s">
        <v>769</v>
      </c>
      <c r="H77" s="203"/>
    </row>
    <row r="78" spans="3:8" x14ac:dyDescent="0.25">
      <c r="C78" s="197" t="s">
        <v>770</v>
      </c>
      <c r="D78" s="204">
        <f>D68-D73</f>
        <v>629.22882788164407</v>
      </c>
      <c r="E78" s="328"/>
      <c r="F78" s="328"/>
      <c r="G78" s="197" t="s">
        <v>770</v>
      </c>
      <c r="H78" s="204"/>
    </row>
    <row r="79" spans="3:8" ht="15.75" customHeight="1" thickBot="1" x14ac:dyDescent="0.3">
      <c r="C79" s="205" t="s">
        <v>771</v>
      </c>
      <c r="D79" s="204">
        <f>'Análise Econômica'!AQ29</f>
        <v>28247.300000000007</v>
      </c>
      <c r="E79" s="328"/>
      <c r="F79" s="328"/>
      <c r="G79" s="205" t="s">
        <v>771</v>
      </c>
      <c r="H79" s="206"/>
    </row>
  </sheetData>
  <mergeCells count="48">
    <mergeCell ref="C3:D3"/>
    <mergeCell ref="C69:D69"/>
    <mergeCell ref="C49:D49"/>
    <mergeCell ref="G3:H3"/>
    <mergeCell ref="G74:H74"/>
    <mergeCell ref="G49:H49"/>
    <mergeCell ref="C43:D43"/>
    <mergeCell ref="G34:H34"/>
    <mergeCell ref="G24:H24"/>
    <mergeCell ref="G30:H30"/>
    <mergeCell ref="G5:H5"/>
    <mergeCell ref="G65:H65"/>
    <mergeCell ref="G14:H14"/>
    <mergeCell ref="G45:H45"/>
    <mergeCell ref="C70:D70"/>
    <mergeCell ref="C23:D23"/>
    <mergeCell ref="G4:H4"/>
    <mergeCell ref="C4:D4"/>
    <mergeCell ref="C29:D29"/>
    <mergeCell ref="C10:D10"/>
    <mergeCell ref="C25:D25"/>
    <mergeCell ref="C9:D9"/>
    <mergeCell ref="C14:D14"/>
    <mergeCell ref="G23:H23"/>
    <mergeCell ref="G54:H54"/>
    <mergeCell ref="G63:H63"/>
    <mergeCell ref="G50:H50"/>
    <mergeCell ref="G44:H44"/>
    <mergeCell ref="G29:H29"/>
    <mergeCell ref="C54:D54"/>
    <mergeCell ref="C63:D63"/>
    <mergeCell ref="C50:D50"/>
    <mergeCell ref="C44:D44"/>
    <mergeCell ref="C45:D45"/>
    <mergeCell ref="C74:D74"/>
    <mergeCell ref="G70:H70"/>
    <mergeCell ref="C64:D64"/>
    <mergeCell ref="C65:D65"/>
    <mergeCell ref="G69:H69"/>
    <mergeCell ref="G64:H64"/>
    <mergeCell ref="C34:D34"/>
    <mergeCell ref="G43:H43"/>
    <mergeCell ref="C24:D24"/>
    <mergeCell ref="C5:D5"/>
    <mergeCell ref="G10:H10"/>
    <mergeCell ref="G9:H9"/>
    <mergeCell ref="G25:H25"/>
    <mergeCell ref="C30:D3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topLeftCell="A5" zoomScale="85" zoomScaleNormal="85" workbookViewId="0">
      <selection activeCell="C2" sqref="C2"/>
    </sheetView>
  </sheetViews>
  <sheetFormatPr defaultColWidth="8.5703125" defaultRowHeight="15" x14ac:dyDescent="0.25"/>
  <cols>
    <col min="1" max="1" width="27.140625" customWidth="1"/>
    <col min="2" max="2" width="34.85546875" customWidth="1"/>
    <col min="3" max="3" width="27.7109375" customWidth="1"/>
    <col min="4" max="4" width="33.7109375" bestFit="1" customWidth="1"/>
    <col min="5" max="5" width="22" bestFit="1" customWidth="1"/>
    <col min="6" max="6" width="13.85546875" customWidth="1"/>
    <col min="9" max="9" width="42.7109375" customWidth="1"/>
    <col min="10" max="10" width="26.7109375" customWidth="1"/>
    <col min="13" max="13" width="46.7109375" customWidth="1"/>
    <col min="14" max="14" width="26.7109375" customWidth="1"/>
  </cols>
  <sheetData>
    <row r="1" spans="1:6" ht="37.5" x14ac:dyDescent="0.25">
      <c r="A1" s="287" t="s">
        <v>784</v>
      </c>
      <c r="B1" s="288" t="s">
        <v>785</v>
      </c>
      <c r="C1" s="288" t="s">
        <v>786</v>
      </c>
      <c r="D1" s="288" t="s">
        <v>787</v>
      </c>
      <c r="E1" s="291" t="s">
        <v>788</v>
      </c>
      <c r="F1" s="289" t="s">
        <v>789</v>
      </c>
    </row>
    <row r="2" spans="1:6" ht="30.75" customHeight="1" x14ac:dyDescent="0.25">
      <c r="A2" s="290" t="s">
        <v>790</v>
      </c>
      <c r="B2" s="18" t="s">
        <v>791</v>
      </c>
      <c r="C2" s="19"/>
      <c r="D2" s="19"/>
      <c r="E2" s="19"/>
      <c r="F2" s="20"/>
    </row>
    <row r="3" spans="1:6" ht="30.75" customHeight="1" x14ac:dyDescent="0.25">
      <c r="A3" s="292" t="s">
        <v>792</v>
      </c>
      <c r="B3" s="21" t="s">
        <v>793</v>
      </c>
      <c r="C3" s="19"/>
      <c r="D3" s="19"/>
      <c r="E3" s="19"/>
      <c r="F3" s="20"/>
    </row>
    <row r="4" spans="1:6" ht="30.75" customHeight="1" x14ac:dyDescent="0.25">
      <c r="A4" s="290" t="s">
        <v>794</v>
      </c>
      <c r="B4" s="22" t="s">
        <v>795</v>
      </c>
      <c r="C4" s="19"/>
      <c r="D4" s="19"/>
      <c r="E4" s="19"/>
      <c r="F4" s="20"/>
    </row>
    <row r="5" spans="1:6" ht="30.75" customHeight="1" x14ac:dyDescent="0.25">
      <c r="A5" s="290" t="s">
        <v>796</v>
      </c>
      <c r="B5" s="22" t="s">
        <v>797</v>
      </c>
      <c r="C5" s="19"/>
      <c r="D5" s="19"/>
      <c r="E5" s="19"/>
      <c r="F5" s="20"/>
    </row>
    <row r="6" spans="1:6" ht="30.75" customHeight="1" x14ac:dyDescent="0.25">
      <c r="A6" s="290" t="s">
        <v>798</v>
      </c>
      <c r="B6" s="22" t="s">
        <v>799</v>
      </c>
      <c r="C6" s="19"/>
      <c r="D6" s="19"/>
      <c r="E6" s="19"/>
      <c r="F6" s="20"/>
    </row>
    <row r="7" spans="1:6" ht="30.75" customHeight="1" x14ac:dyDescent="0.25">
      <c r="A7" s="290" t="s">
        <v>800</v>
      </c>
      <c r="B7" s="22" t="s">
        <v>801</v>
      </c>
      <c r="C7" s="19"/>
      <c r="D7" s="19"/>
      <c r="E7" s="19"/>
      <c r="F7" s="20"/>
    </row>
    <row r="9" spans="1:6" ht="15.75" thickBot="1" x14ac:dyDescent="0.3"/>
    <row r="10" spans="1:6" x14ac:dyDescent="0.25">
      <c r="A10" s="441" t="s">
        <v>802</v>
      </c>
      <c r="B10" s="444" t="s">
        <v>803</v>
      </c>
      <c r="C10" s="437" t="s">
        <v>804</v>
      </c>
      <c r="D10" s="437" t="s">
        <v>805</v>
      </c>
      <c r="E10" s="437" t="s">
        <v>806</v>
      </c>
    </row>
    <row r="11" spans="1:6" x14ac:dyDescent="0.25">
      <c r="A11" s="442"/>
      <c r="B11" s="445"/>
      <c r="C11" s="438"/>
      <c r="D11" s="438"/>
      <c r="E11" s="438"/>
    </row>
    <row r="12" spans="1:6" ht="18.75" x14ac:dyDescent="0.25">
      <c r="A12" s="23" t="s">
        <v>807</v>
      </c>
      <c r="B12" s="24" t="s">
        <v>808</v>
      </c>
      <c r="C12" s="25"/>
      <c r="D12" s="25"/>
      <c r="E12" s="25"/>
    </row>
    <row r="13" spans="1:6" ht="31.5" x14ac:dyDescent="0.25">
      <c r="A13" s="23" t="s">
        <v>792</v>
      </c>
      <c r="B13" s="24" t="s">
        <v>793</v>
      </c>
      <c r="C13" s="25"/>
      <c r="D13" s="25"/>
      <c r="E13" s="25"/>
    </row>
    <row r="14" spans="1:6" ht="31.5" x14ac:dyDescent="0.25">
      <c r="A14" s="23" t="s">
        <v>794</v>
      </c>
      <c r="B14" s="24" t="s">
        <v>795</v>
      </c>
      <c r="C14" s="25"/>
      <c r="D14" s="25"/>
      <c r="E14" s="25"/>
    </row>
    <row r="15" spans="1:6" ht="31.5" x14ac:dyDescent="0.25">
      <c r="A15" s="23" t="s">
        <v>796</v>
      </c>
      <c r="B15" s="24" t="s">
        <v>809</v>
      </c>
      <c r="C15" s="25"/>
      <c r="D15" s="25"/>
      <c r="E15" s="25"/>
    </row>
    <row r="16" spans="1:6" ht="18.75" x14ac:dyDescent="0.25">
      <c r="A16" s="23" t="s">
        <v>810</v>
      </c>
      <c r="B16" s="24" t="s">
        <v>811</v>
      </c>
      <c r="C16" s="25"/>
      <c r="D16" s="25"/>
      <c r="E16" s="25"/>
    </row>
    <row r="17" spans="1:14" ht="19.5" thickBot="1" x14ac:dyDescent="0.35">
      <c r="A17" s="446" t="s">
        <v>812</v>
      </c>
      <c r="B17" s="447"/>
      <c r="C17" s="177"/>
      <c r="D17" s="177"/>
      <c r="E17" s="177"/>
    </row>
    <row r="21" spans="1:14" x14ac:dyDescent="0.25">
      <c r="I21" s="439"/>
      <c r="J21" s="440"/>
      <c r="M21" s="439"/>
      <c r="N21" s="440"/>
    </row>
    <row r="22" spans="1:14" x14ac:dyDescent="0.25">
      <c r="I22" s="439"/>
      <c r="J22" s="440"/>
      <c r="M22" s="439"/>
      <c r="N22" s="440"/>
    </row>
    <row r="23" spans="1:14" x14ac:dyDescent="0.25">
      <c r="I23" s="443"/>
      <c r="J23" s="440"/>
      <c r="M23" s="443"/>
      <c r="N23" s="440"/>
    </row>
    <row r="24" spans="1:14" x14ac:dyDescent="0.25">
      <c r="I24" s="220"/>
      <c r="J24" s="219"/>
      <c r="M24" s="220"/>
      <c r="N24" s="219"/>
    </row>
    <row r="25" spans="1:14" x14ac:dyDescent="0.25">
      <c r="I25" s="220"/>
      <c r="J25" s="219"/>
      <c r="M25" s="220"/>
      <c r="N25" s="219"/>
    </row>
    <row r="26" spans="1:14" x14ac:dyDescent="0.25">
      <c r="I26" s="220"/>
      <c r="J26" s="221"/>
      <c r="M26" s="220"/>
      <c r="N26" s="221"/>
    </row>
    <row r="27" spans="1:14" x14ac:dyDescent="0.25">
      <c r="I27" s="439"/>
      <c r="J27" s="440"/>
      <c r="M27" s="439"/>
      <c r="N27" s="440"/>
    </row>
    <row r="28" spans="1:14" x14ac:dyDescent="0.25">
      <c r="I28" s="443"/>
      <c r="J28" s="440"/>
      <c r="M28" s="443"/>
      <c r="N28" s="440"/>
    </row>
    <row r="29" spans="1:14" x14ac:dyDescent="0.25">
      <c r="I29" s="220"/>
      <c r="J29" s="219"/>
      <c r="M29" s="220"/>
      <c r="N29" s="219"/>
    </row>
    <row r="30" spans="1:14" x14ac:dyDescent="0.25">
      <c r="I30" s="220"/>
      <c r="J30" s="219"/>
      <c r="M30" s="220"/>
      <c r="N30" s="219"/>
    </row>
    <row r="31" spans="1:14" x14ac:dyDescent="0.25">
      <c r="I31" s="220"/>
      <c r="J31" s="221"/>
      <c r="M31" s="220"/>
      <c r="N31" s="221"/>
    </row>
    <row r="32" spans="1:14" x14ac:dyDescent="0.25">
      <c r="I32" s="439"/>
      <c r="J32" s="440"/>
      <c r="M32" s="439"/>
      <c r="N32" s="440"/>
    </row>
    <row r="33" spans="9:14" x14ac:dyDescent="0.25">
      <c r="I33" s="220"/>
      <c r="J33" s="219"/>
      <c r="M33" s="220"/>
      <c r="N33" s="219"/>
    </row>
    <row r="34" spans="9:14" x14ac:dyDescent="0.25">
      <c r="I34" s="220"/>
      <c r="J34" s="219"/>
      <c r="M34" s="220"/>
      <c r="N34" s="219"/>
    </row>
    <row r="35" spans="9:14" x14ac:dyDescent="0.25">
      <c r="I35" s="220"/>
      <c r="J35" s="222"/>
      <c r="M35" s="220"/>
      <c r="N35" s="222"/>
    </row>
    <row r="36" spans="9:14" x14ac:dyDescent="0.25">
      <c r="I36" s="220"/>
      <c r="J36" s="221"/>
      <c r="M36" s="220"/>
      <c r="N36" s="221"/>
    </row>
    <row r="37" spans="9:14" x14ac:dyDescent="0.25">
      <c r="I37" s="220"/>
      <c r="J37" s="221"/>
      <c r="M37" s="220"/>
      <c r="N37" s="221"/>
    </row>
  </sheetData>
  <mergeCells count="18">
    <mergeCell ref="A17:B17"/>
    <mergeCell ref="C10:C11"/>
    <mergeCell ref="D10:D11"/>
    <mergeCell ref="E10:E11"/>
    <mergeCell ref="M32:N32"/>
    <mergeCell ref="A10:A11"/>
    <mergeCell ref="I22:J22"/>
    <mergeCell ref="M28:N28"/>
    <mergeCell ref="M27:N27"/>
    <mergeCell ref="M22:N22"/>
    <mergeCell ref="I21:J21"/>
    <mergeCell ref="M23:N23"/>
    <mergeCell ref="M21:N21"/>
    <mergeCell ref="I32:J32"/>
    <mergeCell ref="I28:J28"/>
    <mergeCell ref="I27:J27"/>
    <mergeCell ref="B10:B11"/>
    <mergeCell ref="I23:J2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="70" zoomScaleNormal="70" workbookViewId="0">
      <selection activeCell="D14" sqref="D14"/>
    </sheetView>
  </sheetViews>
  <sheetFormatPr defaultColWidth="8.5703125" defaultRowHeight="15" x14ac:dyDescent="0.25"/>
  <cols>
    <col min="1" max="1" width="31.5703125" customWidth="1"/>
    <col min="2" max="2" width="13.5703125" customWidth="1"/>
    <col min="3" max="3" width="13.7109375" customWidth="1"/>
  </cols>
  <sheetData>
    <row r="1" spans="1:3" ht="17.25" customHeight="1" x14ac:dyDescent="0.25">
      <c r="A1" s="2" t="s">
        <v>813</v>
      </c>
      <c r="B1" s="3" t="s">
        <v>814</v>
      </c>
      <c r="C1" s="4" t="s">
        <v>815</v>
      </c>
    </row>
    <row r="2" spans="1:3" ht="15" customHeight="1" x14ac:dyDescent="0.25">
      <c r="A2" s="6" t="s">
        <v>807</v>
      </c>
      <c r="B2" s="228">
        <f t="array" ref="B2">IFERROR(LOOKUP(2,1/ISNUMBER('Sistemas de Iluminação'!Q:Q),'Sistemas de Iluminação'!Q:Q),0)</f>
        <v>4.2745437500000003</v>
      </c>
      <c r="C2" s="74">
        <f t="shared" ref="C2:C7" si="0">(B2/$B$7)*100</f>
        <v>8.9140523821956403</v>
      </c>
    </row>
    <row r="3" spans="1:3" ht="15" customHeight="1" x14ac:dyDescent="0.25">
      <c r="A3" s="6" t="s">
        <v>792</v>
      </c>
      <c r="B3" s="228">
        <f t="array" ref="B3">IFERROR(LOOKUP(2,1/ISNUMBER('Sistemas de Cond. Ambiental'!S:S),'Sistemas de Cond. Ambiental'!S:S),0)</f>
        <v>38.194307999999999</v>
      </c>
      <c r="C3" s="74">
        <f t="shared" si="0"/>
        <v>79.649684767810356</v>
      </c>
    </row>
    <row r="4" spans="1:3" ht="15" customHeight="1" x14ac:dyDescent="0.25">
      <c r="A4" s="6" t="s">
        <v>816</v>
      </c>
      <c r="B4" s="228">
        <f t="array" ref="B4">IFERROR(LOOKUP(2,1/ISNUMBER('Sistemas de Motor'!P:P),'Sistemas de Motor'!P:P),0)</f>
        <v>0</v>
      </c>
      <c r="C4" s="74">
        <f t="shared" si="0"/>
        <v>0</v>
      </c>
    </row>
    <row r="5" spans="1:3" ht="15" customHeight="1" x14ac:dyDescent="0.25">
      <c r="A5" s="6" t="s">
        <v>796</v>
      </c>
      <c r="B5" s="229">
        <f t="array" ref="B5">IFERROR(LOOKUP(2,1/ISNUMBER('Sistemas de Refrigeração'!R:R),'Sistemas de Refrigeração'!R:R),0)</f>
        <v>5.3300160000000005</v>
      </c>
      <c r="C5" s="74">
        <f t="shared" si="0"/>
        <v>11.115114173750328</v>
      </c>
    </row>
    <row r="6" spans="1:3" ht="15" customHeight="1" x14ac:dyDescent="0.25">
      <c r="A6" s="6" t="s">
        <v>817</v>
      </c>
      <c r="B6" s="228">
        <f t="array" ref="B6">IFERROR(LOOKUP(2,1/ISNUMBER('Sistemas Outros'!P:P),'Sistemas Outros'!P:P),0)</f>
        <v>0.154</v>
      </c>
      <c r="C6" s="74">
        <f t="shared" si="0"/>
        <v>0.32114867624366422</v>
      </c>
    </row>
    <row r="7" spans="1:3" ht="15" customHeight="1" x14ac:dyDescent="0.25">
      <c r="A7" s="15" t="s">
        <v>812</v>
      </c>
      <c r="B7" s="230">
        <f>SUM(B2:B6)</f>
        <v>47.952867750000003</v>
      </c>
      <c r="C7" s="75">
        <f t="shared" si="0"/>
        <v>100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Y64"/>
  <sheetViews>
    <sheetView topLeftCell="A4" zoomScale="80" zoomScaleNormal="80" workbookViewId="0">
      <selection activeCell="B39" sqref="B39"/>
    </sheetView>
  </sheetViews>
  <sheetFormatPr defaultColWidth="8.5703125" defaultRowHeight="15" x14ac:dyDescent="0.25"/>
  <cols>
    <col min="1" max="1" width="38.42578125" customWidth="1"/>
    <col min="2" max="2" width="27.42578125" customWidth="1"/>
    <col min="3" max="3" width="19" customWidth="1"/>
    <col min="4" max="4" width="17.5703125" customWidth="1"/>
    <col min="5" max="5" width="19.28515625" customWidth="1"/>
    <col min="6" max="6" width="20" customWidth="1"/>
    <col min="7" max="7" width="63.140625" customWidth="1"/>
    <col min="8" max="8" width="19" customWidth="1"/>
    <col min="9" max="9" width="16.5703125" customWidth="1"/>
    <col min="10" max="11" width="34.85546875" customWidth="1"/>
    <col min="12" max="12" width="16.7109375" bestFit="1" customWidth="1"/>
    <col min="13" max="13" width="17.7109375" bestFit="1" customWidth="1"/>
    <col min="14" max="14" width="14.85546875" customWidth="1"/>
    <col min="16" max="16" width="40" customWidth="1"/>
    <col min="17" max="17" width="19.140625" customWidth="1"/>
    <col min="18" max="18" width="19" customWidth="1"/>
    <col min="19" max="27" width="16.5703125" customWidth="1"/>
    <col min="31" max="31" width="40" customWidth="1"/>
    <col min="32" max="32" width="44" bestFit="1" customWidth="1"/>
    <col min="33" max="33" width="18.5703125" bestFit="1" customWidth="1"/>
    <col min="34" max="35" width="16.5703125" bestFit="1" customWidth="1"/>
    <col min="36" max="42" width="15.42578125" customWidth="1"/>
    <col min="43" max="43" width="17.7109375" customWidth="1"/>
    <col min="44" max="44" width="37.140625" customWidth="1"/>
    <col min="45" max="45" width="33" bestFit="1" customWidth="1"/>
    <col min="46" max="47" width="36.85546875" bestFit="1" customWidth="1"/>
    <col min="48" max="48" width="93.5703125" bestFit="1" customWidth="1"/>
    <col min="49" max="49" width="15.42578125" customWidth="1"/>
    <col min="50" max="50" width="13.7109375" customWidth="1"/>
    <col min="51" max="51" width="10" customWidth="1"/>
  </cols>
  <sheetData>
    <row r="2" spans="1:51" ht="15" customHeight="1" x14ac:dyDescent="0.25">
      <c r="A2" s="450" t="s">
        <v>818</v>
      </c>
      <c r="B2" s="451"/>
      <c r="D2" s="450" t="s">
        <v>819</v>
      </c>
      <c r="E2" s="451"/>
      <c r="G2" s="450" t="s">
        <v>820</v>
      </c>
      <c r="H2" s="451"/>
      <c r="J2" s="450" t="s">
        <v>821</v>
      </c>
      <c r="K2" s="451"/>
    </row>
    <row r="3" spans="1:51" ht="15" customHeight="1" x14ac:dyDescent="0.25">
      <c r="A3" s="27" t="s">
        <v>822</v>
      </c>
      <c r="B3" s="27" t="s">
        <v>823</v>
      </c>
      <c r="D3" s="27" t="s">
        <v>824</v>
      </c>
      <c r="E3" s="27" t="s">
        <v>825</v>
      </c>
      <c r="G3" s="28" t="s">
        <v>826</v>
      </c>
      <c r="H3" s="29">
        <v>712.5</v>
      </c>
      <c r="J3" s="27" t="s">
        <v>824</v>
      </c>
      <c r="K3" s="27" t="s">
        <v>827</v>
      </c>
    </row>
    <row r="4" spans="1:51" ht="15" customHeight="1" x14ac:dyDescent="0.25">
      <c r="A4" s="28" t="s">
        <v>828</v>
      </c>
      <c r="B4" s="30">
        <v>0</v>
      </c>
      <c r="D4" s="28" t="s">
        <v>829</v>
      </c>
      <c r="E4" s="31" cm="1">
        <f t="array" ref="E4">(MEDIAN(_xlfn._xlws.FILTER(FATURAS!AQ1:AQ3,FATURAS!AQ1:AQ3&gt;0))*_xlfn.XLOOKUP(MAX(FATURAS!M1:M3),FATURAS!M1:M3,FATURAS!BR1:BR3)+MEDIAN(_xlfn._xlws.FILTER(FATURAS!AR1:AR3,FATURAS!AR1:AR3&gt;0))*_xlfn.XLOOKUP(MAX(FATURAS!M1:M3),FATURAS!M1:M3,FATURAS!BS1:BS3)+MEDIAN(_xlfn._xlws.FILTER(FATURAS!AZ1:AZ3,FATURAS!AZ1:AZ3&gt;0))*_xlfn.XLOOKUP(MAX(FATURAS!M1:M3),FATURAS!M1:M3,FATURAS!BV1:BV3))/(MEDIAN(_xlfn._xlws.FILTER(FATURAS!AQ1:AQ3,FATURAS!AQ1:AQ3&gt;0))+MEDIAN(_xlfn._xlws.FILTER(FATURAS!AR1:AR3,FATURAS!AR1:AR3&gt;0)))*1000</f>
        <v>1976.92963427423</v>
      </c>
      <c r="G4" s="32" t="s">
        <v>830</v>
      </c>
      <c r="H4" s="29">
        <v>1462.5</v>
      </c>
      <c r="J4" s="28" t="s">
        <v>831</v>
      </c>
      <c r="K4" s="33">
        <v>0.1</v>
      </c>
    </row>
    <row r="5" spans="1:51" ht="15" customHeight="1" x14ac:dyDescent="0.25">
      <c r="A5" s="32" t="s">
        <v>832</v>
      </c>
      <c r="B5" s="33">
        <v>0.15</v>
      </c>
      <c r="D5" s="32" t="s">
        <v>833</v>
      </c>
      <c r="E5" s="31">
        <f>(_xlfn.XLOOKUP(MAX(FATURAS!M:M),FATURAS!M:M,FATURAS!AF:AF)*_xlfn.XLOOKUP(MAX(FATURAS!M:M),FATURAS!M:M,FATURAS!CG:CG)+_xlfn.XLOOKUP(MAX(FATURAS!M:M),FATURAS!M:M,FATURAS!AZ:AZ)*_xlfn.XLOOKUP(MAX(FATURAS!M:M),FATURAS!M:M,FATURAS!BV:BV))/_xlfn.XLOOKUP(MAX(FATURAS!M:M),FATURAS!M:M,FATURAS!AF:AF)*1000</f>
        <v>1444.6707591466343</v>
      </c>
      <c r="G5" s="32" t="s">
        <v>834</v>
      </c>
      <c r="H5" s="29">
        <v>179.9</v>
      </c>
    </row>
    <row r="6" spans="1:51" ht="15" customHeight="1" x14ac:dyDescent="0.25">
      <c r="D6" s="34"/>
      <c r="E6" s="35"/>
      <c r="G6" s="32" t="s">
        <v>835</v>
      </c>
      <c r="H6" s="29">
        <v>9.9</v>
      </c>
      <c r="J6" s="450" t="s">
        <v>836</v>
      </c>
      <c r="K6" s="451"/>
    </row>
    <row r="7" spans="1:51" x14ac:dyDescent="0.25">
      <c r="J7" s="27" t="s">
        <v>837</v>
      </c>
      <c r="K7" s="233">
        <f t="array" ref="K7">COUNTA(_xlfn.UNIQUE(_xlfn._xlws.FILTER('Sistemas de Iluminação'!B4:B1048576,'Sistemas de Iluminação'!B4:B1048576&lt;&gt;"","")))</f>
        <v>3</v>
      </c>
    </row>
    <row r="8" spans="1:51" x14ac:dyDescent="0.25">
      <c r="J8" s="27" t="s">
        <v>838</v>
      </c>
      <c r="K8" s="232">
        <v>120</v>
      </c>
    </row>
    <row r="9" spans="1:51" x14ac:dyDescent="0.25">
      <c r="D9" s="450" t="s">
        <v>727</v>
      </c>
      <c r="E9" s="451"/>
    </row>
    <row r="10" spans="1:51" x14ac:dyDescent="0.25">
      <c r="D10" s="28" t="s">
        <v>839</v>
      </c>
      <c r="E10" s="31">
        <f>UC_DADOS!G50</f>
        <v>18.74248</v>
      </c>
      <c r="H10" s="193"/>
      <c r="J10" s="193"/>
    </row>
    <row r="11" spans="1:51" x14ac:dyDescent="0.25">
      <c r="D11" s="32" t="s">
        <v>840</v>
      </c>
      <c r="E11" s="31">
        <f>'Sistemas de Cond. Ambiental'!S9+'Sistemas de Iluminação'!Q24+'Sistemas de Refrigeração'!R10+'Sistemas de Motor'!P6+'Sistemas de Aquecimento de Água'!N11</f>
        <v>47.798867749999999</v>
      </c>
      <c r="H11" s="193"/>
      <c r="J11" s="193"/>
    </row>
    <row r="12" spans="1:51" ht="18" customHeight="1" x14ac:dyDescent="0.25">
      <c r="D12" s="32" t="s">
        <v>841</v>
      </c>
      <c r="E12" s="31">
        <f>E10/E11</f>
        <v>0.39211138008598539</v>
      </c>
      <c r="H12" s="193"/>
      <c r="J12" s="193"/>
      <c r="AR12" s="465" t="s">
        <v>842</v>
      </c>
      <c r="AS12" s="398"/>
      <c r="AT12" s="398"/>
      <c r="AU12" s="398"/>
      <c r="AV12" s="398"/>
      <c r="AW12" s="398"/>
      <c r="AX12" s="398"/>
      <c r="AY12" s="399"/>
    </row>
    <row r="13" spans="1:51" ht="45.75" customHeight="1" x14ac:dyDescent="0.25">
      <c r="D13" s="454" t="str">
        <f>IF(AND(E12&gt;=0.9,E12&lt;=1.1),"✓ OK — Fator próximo de 1",
 IF(AND(E12&gt;=0.8,E12&lt;=1.2),"⚠ Aceitável — revisar horários se possível",
 IF(E12&lt;0.8,"❌ Levantamento SUPERIOR às faturas — REDUZIR horas de operação dos equipamentos",
 "❌ Levantamento INFERIOR às faturas — AUMENTAR horas de operação dos equipamentos")))</f>
        <v>❌ Levantamento SUPERIOR às faturas — REDUZIR horas de operação dos equipamentos</v>
      </c>
      <c r="E13" s="455"/>
      <c r="H13" s="193"/>
      <c r="AR13" s="209" t="s">
        <v>843</v>
      </c>
      <c r="AS13" s="209" t="s">
        <v>844</v>
      </c>
      <c r="AT13" s="210" t="s">
        <v>845</v>
      </c>
      <c r="AU13" s="209" t="s">
        <v>846</v>
      </c>
      <c r="AV13" s="211" t="s">
        <v>847</v>
      </c>
      <c r="AW13" s="462" t="str">
        <f>IF(C32=MAX(C32,R32,AG32),"T1 — Combinado (Substituição + Automação)",IF(R32=MAX(C32,R32,AG32),"T2 — Substituição (com mão de obra)","T3 — Automação (sem troca)"))</f>
        <v>T1 — Combinado (Substituição + Automação)</v>
      </c>
      <c r="AX13" s="398"/>
      <c r="AY13" s="399"/>
    </row>
    <row r="14" spans="1:51" x14ac:dyDescent="0.25">
      <c r="H14" s="193"/>
      <c r="AR14" s="209" t="s">
        <v>848</v>
      </c>
      <c r="AS14" s="212">
        <f>-B24</f>
        <v>22857.3</v>
      </c>
      <c r="AT14" s="212">
        <f>-Q24</f>
        <v>17182</v>
      </c>
      <c r="AU14" s="212">
        <f>-AF24</f>
        <v>5675.3</v>
      </c>
      <c r="AV14" s="211" t="s">
        <v>849</v>
      </c>
      <c r="AW14" s="449">
        <f>IF(C32=MAX(C32,R32,AG32),-B24,IF(R32=MAX(C32,R32,AG32),-Q24,-AF24))</f>
        <v>22857.3</v>
      </c>
      <c r="AX14" s="398"/>
      <c r="AY14" s="399"/>
    </row>
    <row r="15" spans="1:51" x14ac:dyDescent="0.25">
      <c r="H15" s="194"/>
      <c r="AR15" s="210" t="s">
        <v>850</v>
      </c>
      <c r="AS15" s="213">
        <f>C25</f>
        <v>11978.94514549226</v>
      </c>
      <c r="AT15" s="213">
        <f>R25</f>
        <v>4920.2213454583689</v>
      </c>
      <c r="AU15" s="212">
        <f>AG25</f>
        <v>7550.7459345797297</v>
      </c>
      <c r="AV15" s="211" t="s">
        <v>851</v>
      </c>
      <c r="AW15" s="449">
        <f>IF(C32=MAX(C32,R32,AG32),C25,IF(R32=MAX(C32,R32,AG32),R25,AG25))</f>
        <v>11978.94514549226</v>
      </c>
      <c r="AX15" s="398"/>
      <c r="AY15" s="399"/>
    </row>
    <row r="16" spans="1:51" x14ac:dyDescent="0.25">
      <c r="AR16" s="209" t="s">
        <v>852</v>
      </c>
      <c r="AS16" s="214">
        <f>C32</f>
        <v>25933.889524747221</v>
      </c>
      <c r="AT16" s="214">
        <f>R32</f>
        <v>7511.4525208447558</v>
      </c>
      <c r="AU16" s="212">
        <f>AG32</f>
        <v>20891.782255986964</v>
      </c>
      <c r="AV16" s="211" t="s">
        <v>853</v>
      </c>
      <c r="AW16" s="449">
        <f>MAX(C32,R32,AG32)</f>
        <v>25933.889524747221</v>
      </c>
      <c r="AX16" s="398"/>
      <c r="AY16" s="399"/>
    </row>
    <row r="17" spans="1:51" x14ac:dyDescent="0.25">
      <c r="AR17" s="209" t="s">
        <v>854</v>
      </c>
      <c r="AS17" s="215">
        <f>C30</f>
        <v>0.41180341578054458</v>
      </c>
      <c r="AT17" s="215">
        <f>R30</f>
        <v>0.25736602025438526</v>
      </c>
      <c r="AU17" s="216">
        <f>AG30</f>
        <v>0.93144307996312325</v>
      </c>
      <c r="AV17" s="211" t="s">
        <v>855</v>
      </c>
      <c r="AW17" s="463">
        <f>IF(C32=MAX(C32,R32,AG32),C31,IF(R32=MAX(C32,R32,AG32),R31,AG31))</f>
        <v>1.1345998663336099</v>
      </c>
      <c r="AX17" s="398"/>
      <c r="AY17" s="399"/>
    </row>
    <row r="18" spans="1:51" x14ac:dyDescent="0.25">
      <c r="AR18" s="209" t="s">
        <v>856</v>
      </c>
      <c r="AS18" s="217">
        <f>C31</f>
        <v>1.1345998663336099</v>
      </c>
      <c r="AT18" s="217">
        <f>R31</f>
        <v>0.43716985920409474</v>
      </c>
      <c r="AU18" s="218">
        <f>AG31</f>
        <v>3.6811767229903198</v>
      </c>
      <c r="AV18" s="211" t="s">
        <v>857</v>
      </c>
      <c r="AW18" s="453">
        <f>IF(C32=MAX(C32,R32,AG32),C33,IF(R32=MAX(C32,R32,AG32),R33,AG33))</f>
        <v>2.3511519442163511</v>
      </c>
      <c r="AX18" s="398"/>
      <c r="AY18" s="399"/>
    </row>
    <row r="19" spans="1:51" x14ac:dyDescent="0.25">
      <c r="AR19" s="209" t="s">
        <v>858</v>
      </c>
      <c r="AS19" s="217">
        <f>C33</f>
        <v>2.3511519442163511</v>
      </c>
      <c r="AT19" s="217">
        <f>R33</f>
        <v>3.4921193161075808</v>
      </c>
      <c r="AU19" s="218">
        <f>AG33</f>
        <v>1.0721168891586428</v>
      </c>
      <c r="AV19" s="460" t="s">
        <v>859</v>
      </c>
      <c r="AW19" s="456" t="s">
        <v>860</v>
      </c>
      <c r="AX19" s="455"/>
      <c r="AY19" s="457"/>
    </row>
    <row r="20" spans="1:51" ht="34.5" customHeight="1" x14ac:dyDescent="0.25">
      <c r="P20" s="225"/>
      <c r="AR20" s="209" t="s">
        <v>861</v>
      </c>
      <c r="AS20" s="464" t="str">
        <f>IF(C32=MAX(C32,R32,AG32),"T1 — Combinado (Substituição + Automação)",IF(R32=MAX(C32,R32,AG32),"T2 — Substituição (com mão de obra)","T3 — Automação (sem troca)"))</f>
        <v>T1 — Combinado (Substituição + Automação)</v>
      </c>
      <c r="AT20" s="398"/>
      <c r="AU20" s="399"/>
      <c r="AV20" s="461"/>
      <c r="AW20" s="458"/>
      <c r="AX20" s="451"/>
      <c r="AY20" s="459"/>
    </row>
    <row r="22" spans="1:51" ht="15" customHeight="1" x14ac:dyDescent="0.25">
      <c r="A22" s="452" t="s">
        <v>862</v>
      </c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P22" s="452" t="s">
        <v>863</v>
      </c>
      <c r="Q22" s="440"/>
      <c r="R22" s="440"/>
      <c r="S22" s="440"/>
      <c r="T22" s="440"/>
      <c r="U22" s="440"/>
      <c r="V22" s="440"/>
      <c r="W22" s="440"/>
      <c r="X22" s="440"/>
      <c r="Y22" s="440"/>
      <c r="Z22" s="440"/>
      <c r="AA22" s="440"/>
      <c r="AE22" s="452" t="s">
        <v>864</v>
      </c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171"/>
    </row>
    <row r="23" spans="1:51" s="38" customFormat="1" ht="17.25" customHeight="1" x14ac:dyDescent="0.25">
      <c r="A23" s="36" t="s">
        <v>865</v>
      </c>
      <c r="B23" s="37">
        <v>0</v>
      </c>
      <c r="C23" s="37">
        <v>1</v>
      </c>
      <c r="D23" s="37">
        <v>2</v>
      </c>
      <c r="E23" s="37">
        <v>3</v>
      </c>
      <c r="F23" s="37">
        <v>4</v>
      </c>
      <c r="G23" s="37">
        <v>5</v>
      </c>
      <c r="H23" s="37">
        <v>6</v>
      </c>
      <c r="I23" s="37">
        <v>7</v>
      </c>
      <c r="J23" s="37">
        <v>8</v>
      </c>
      <c r="K23" s="37">
        <v>9</v>
      </c>
      <c r="L23" s="37">
        <v>10</v>
      </c>
      <c r="P23" s="36" t="s">
        <v>865</v>
      </c>
      <c r="Q23" s="37">
        <v>0</v>
      </c>
      <c r="R23" s="37">
        <v>1</v>
      </c>
      <c r="S23" s="37">
        <v>2</v>
      </c>
      <c r="T23" s="37">
        <v>3</v>
      </c>
      <c r="U23" s="37">
        <v>4</v>
      </c>
      <c r="V23" s="37">
        <v>5</v>
      </c>
      <c r="W23" s="37">
        <v>6</v>
      </c>
      <c r="X23" s="37">
        <v>7</v>
      </c>
      <c r="Y23" s="37">
        <v>8</v>
      </c>
      <c r="Z23" s="37">
        <v>9</v>
      </c>
      <c r="AA23" s="37">
        <v>10</v>
      </c>
      <c r="AE23" s="36" t="s">
        <v>865</v>
      </c>
      <c r="AF23" s="37">
        <v>0</v>
      </c>
      <c r="AG23" s="37">
        <v>1</v>
      </c>
      <c r="AH23" s="37">
        <v>2</v>
      </c>
      <c r="AI23" s="37">
        <v>3</v>
      </c>
      <c r="AJ23" s="37">
        <v>4</v>
      </c>
      <c r="AK23" s="37">
        <v>5</v>
      </c>
      <c r="AL23" s="37">
        <v>6</v>
      </c>
      <c r="AM23" s="37">
        <v>7</v>
      </c>
      <c r="AN23" s="37">
        <v>8</v>
      </c>
      <c r="AO23" s="37">
        <v>9</v>
      </c>
      <c r="AP23" s="37">
        <v>10</v>
      </c>
      <c r="AQ23" s="37"/>
      <c r="AV23" s="34"/>
      <c r="AW23" s="34"/>
      <c r="AX23" s="34"/>
    </row>
    <row r="24" spans="1:51" s="34" customFormat="1" ht="17.25" customHeight="1" x14ac:dyDescent="0.25">
      <c r="A24" s="39" t="s">
        <v>866</v>
      </c>
      <c r="B24" s="40">
        <f t="array" ref="B24">-(SUMPRODUCT(('Sistemas de Cond. Ambiental'!C3:C896&lt;&gt;"")*'Sistemas de Cond. Ambiental'!AN3:AN896)+(H3*SUMPRODUCT(('Sistemas de Cond. Ambiental'!C3:C896&lt;&gt;"")*('Sistemas de Cond. Ambiental'!AM3:AM896&lt;&gt;0)*'Sistemas de Cond. Ambiental'!Z3:Z896))+(H5*SUMPRODUCT(('Sistemas de Cond. Ambiental'!C3:C896&lt;&gt;"")*'Sistemas de Cond. Ambiental'!I3:I896))+(H6*12*SUMPRODUCT(('Sistemas de Cond. Ambiental'!C3:C896&lt;&gt;"")*'Sistemas de Cond. Ambiental'!I3:I896)))</f>
        <v>-22857.3</v>
      </c>
      <c r="C24" s="40">
        <f>-($H$6*12*SUMPRODUCT(('Sistemas de Cond. Ambiental'!C3:C896&lt;&gt;"")*'Sistemas de Cond. Ambiental'!I3:I896))</f>
        <v>-2257.2000000000003</v>
      </c>
      <c r="D24" s="40">
        <f>-($H$6*12*SUMPRODUCT(('Sistemas de Cond. Ambiental'!C3:C896&lt;&gt;"")*'Sistemas de Cond. Ambiental'!I3:I896))</f>
        <v>-2257.2000000000003</v>
      </c>
      <c r="E24" s="40">
        <f>-($H$6*12*SUMPRODUCT(('Sistemas de Cond. Ambiental'!C3:C896&lt;&gt;"")*'Sistemas de Cond. Ambiental'!I3:I896))</f>
        <v>-2257.2000000000003</v>
      </c>
      <c r="F24" s="40">
        <f>-($H$6*12*SUMPRODUCT(('Sistemas de Cond. Ambiental'!C3:C896&lt;&gt;"")*'Sistemas de Cond. Ambiental'!I3:I896))</f>
        <v>-2257.2000000000003</v>
      </c>
      <c r="G24" s="40">
        <f>-($H$6*12*SUMPRODUCT(('Sistemas de Cond. Ambiental'!C3:C896&lt;&gt;"")*'Sistemas de Cond. Ambiental'!I3:I896))</f>
        <v>-2257.2000000000003</v>
      </c>
      <c r="H24" s="40">
        <f>-($H$6*12*SUMPRODUCT(('Sistemas de Cond. Ambiental'!C3:C896&lt;&gt;"")*'Sistemas de Cond. Ambiental'!I3:I896))</f>
        <v>-2257.2000000000003</v>
      </c>
      <c r="I24" s="40">
        <f>-($H$6*12*SUMPRODUCT(('Sistemas de Cond. Ambiental'!C3:C896&lt;&gt;"")*'Sistemas de Cond. Ambiental'!I3:I896))</f>
        <v>-2257.2000000000003</v>
      </c>
      <c r="J24" s="40">
        <f>-($H$6*12*SUMPRODUCT(('Sistemas de Cond. Ambiental'!C3:C896&lt;&gt;"")*'Sistemas de Cond. Ambiental'!I3:I896))</f>
        <v>-2257.2000000000003</v>
      </c>
      <c r="K24" s="40">
        <f>-($H$6*12*SUMPRODUCT(('Sistemas de Cond. Ambiental'!C3:C896&lt;&gt;"")*'Sistemas de Cond. Ambiental'!I3:I896))</f>
        <v>-2257.2000000000003</v>
      </c>
      <c r="L24" s="40">
        <f>-($H$6*12*SUMPRODUCT(('Sistemas de Cond. Ambiental'!C3:C896&lt;&gt;"")*'Sistemas de Cond. Ambiental'!I3:I896))</f>
        <v>-2257.2000000000003</v>
      </c>
      <c r="P24" s="39" t="s">
        <v>866</v>
      </c>
      <c r="Q24" s="40">
        <f t="array" ref="Q24">-(SUMPRODUCT(('Sistemas de Cond. Ambiental'!C3:C896&lt;&gt;"")*'Sistemas de Cond. Ambiental'!AN3:AN896)+(H3*SUMPRODUCT(('Sistemas de Cond. Ambiental'!C3:C896&lt;&gt;"")*('Sistemas de Cond. Ambiental'!AM3:AM896&lt;&gt;0)*'Sistemas de Cond. Ambiental'!Z3:Z896)))</f>
        <v>-17182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E24" s="39" t="s">
        <v>866</v>
      </c>
      <c r="AF24" s="40">
        <f>-((SUMPRODUCT(('Sistemas de Cond. Ambiental'!C3:C896&lt;&gt;"")*'Sistemas de Cond. Ambiental'!I3:I896)*H5)+(H6*12*SUMPRODUCT(('Sistemas de Cond. Ambiental'!C3:C896&lt;&gt;"")*'Sistemas de Cond. Ambiental'!I3:I896)))</f>
        <v>-5675.3</v>
      </c>
      <c r="AG24" s="40">
        <f>-($H$6*12*SUMPRODUCT(('Sistemas de Cond. Ambiental'!C3:C896&lt;&gt;"")*'Sistemas de Cond. Ambiental'!I3:I896))</f>
        <v>-2257.2000000000003</v>
      </c>
      <c r="AH24" s="40">
        <f>-($H$6*12*SUMPRODUCT(('Sistemas de Cond. Ambiental'!C3:C896&lt;&gt;"")*'Sistemas de Cond. Ambiental'!I3:I896))</f>
        <v>-2257.2000000000003</v>
      </c>
      <c r="AI24" s="40">
        <f>-($H$6*12*SUMPRODUCT(('Sistemas de Cond. Ambiental'!C3:C896&lt;&gt;"")*'Sistemas de Cond. Ambiental'!I3:I896))</f>
        <v>-2257.2000000000003</v>
      </c>
      <c r="AJ24" s="40">
        <f>-($H$6*12*SUMPRODUCT(('Sistemas de Cond. Ambiental'!C3:C896&lt;&gt;"")*'Sistemas de Cond. Ambiental'!I3:I896))</f>
        <v>-2257.2000000000003</v>
      </c>
      <c r="AK24" s="40">
        <f>-($H$6*12*SUMPRODUCT(('Sistemas de Cond. Ambiental'!C3:C896&lt;&gt;"")*'Sistemas de Cond. Ambiental'!I3:I896))</f>
        <v>-2257.2000000000003</v>
      </c>
      <c r="AL24" s="40">
        <f>-($H$6*12*SUMPRODUCT(('Sistemas de Cond. Ambiental'!C3:C896&lt;&gt;"")*'Sistemas de Cond. Ambiental'!I3:I896))</f>
        <v>-2257.2000000000003</v>
      </c>
      <c r="AM24" s="40">
        <f>-($H$6*12*SUMPRODUCT(('Sistemas de Cond. Ambiental'!C3:C896&lt;&gt;"")*'Sistemas de Cond. Ambiental'!I3:I896))</f>
        <v>-2257.2000000000003</v>
      </c>
      <c r="AN24" s="40">
        <f>-($H$6*12*SUMPRODUCT(('Sistemas de Cond. Ambiental'!C3:C896&lt;&gt;"")*'Sistemas de Cond. Ambiental'!I3:I896))</f>
        <v>-2257.2000000000003</v>
      </c>
      <c r="AO24" s="40">
        <f>-($H$6*12*SUMPRODUCT(('Sistemas de Cond. Ambiental'!C3:C896&lt;&gt;"")*'Sistemas de Cond. Ambiental'!I3:I896))</f>
        <v>-2257.2000000000003</v>
      </c>
      <c r="AP24" s="40">
        <f>-($H$6*12*SUMPRODUCT(('Sistemas de Cond. Ambiental'!C3:C896&lt;&gt;"")*'Sistemas de Cond. Ambiental'!I3:I896))</f>
        <v>-2257.2000000000003</v>
      </c>
      <c r="AQ24" s="42"/>
    </row>
    <row r="25" spans="1:51" s="43" customFormat="1" ht="17.25" customHeight="1" x14ac:dyDescent="0.25">
      <c r="A25" s="41" t="s">
        <v>867</v>
      </c>
      <c r="B25" s="42">
        <v>0</v>
      </c>
      <c r="C25" s="42">
        <f t="array" ref="C25">(SUMPRODUCT(('Sistemas de Cond. Ambiental'!C3:C896&lt;&gt;"")*'Sistemas de Cond. Ambiental'!AM3:AM896)+(SUMPRODUCT(('Sistemas de Cond. Ambiental'!C3:C896&lt;&gt;"")*'Sistemas de Cond. Ambiental'!S3:S896)-SUMPRODUCT(('Sistemas de Cond. Ambiental'!C3:C896&lt;&gt;"")*'Sistemas de Cond. Ambiental'!AM3:AM896))*$K$4)*$E$4</f>
        <v>11978.94514549226</v>
      </c>
      <c r="D25" s="42">
        <f t="shared" ref="D25:L25" si="0">C25</f>
        <v>11978.94514549226</v>
      </c>
      <c r="E25" s="42">
        <f t="shared" si="0"/>
        <v>11978.94514549226</v>
      </c>
      <c r="F25" s="42">
        <f t="shared" si="0"/>
        <v>11978.94514549226</v>
      </c>
      <c r="G25" s="42">
        <f t="shared" si="0"/>
        <v>11978.94514549226</v>
      </c>
      <c r="H25" s="42">
        <f t="shared" si="0"/>
        <v>11978.94514549226</v>
      </c>
      <c r="I25" s="42">
        <f t="shared" si="0"/>
        <v>11978.94514549226</v>
      </c>
      <c r="J25" s="42">
        <f t="shared" si="0"/>
        <v>11978.94514549226</v>
      </c>
      <c r="K25" s="42">
        <f t="shared" si="0"/>
        <v>11978.94514549226</v>
      </c>
      <c r="L25" s="42">
        <f t="shared" si="0"/>
        <v>11978.94514549226</v>
      </c>
      <c r="P25" s="41" t="s">
        <v>867</v>
      </c>
      <c r="Q25" s="42">
        <v>0</v>
      </c>
      <c r="R25" s="42">
        <f>SUMPRODUCT(('Sistemas de Cond. Ambiental'!C3:C896&lt;&gt;"")*'Sistemas de Cond. Ambiental'!AM3:AM896)*'Análise Econômica'!E4</f>
        <v>4920.2213454583689</v>
      </c>
      <c r="S25" s="42">
        <f t="shared" ref="S25:AA25" si="1">R25</f>
        <v>4920.2213454583689</v>
      </c>
      <c r="T25" s="42">
        <f t="shared" si="1"/>
        <v>4920.2213454583689</v>
      </c>
      <c r="U25" s="42">
        <f t="shared" si="1"/>
        <v>4920.2213454583689</v>
      </c>
      <c r="V25" s="42">
        <f t="shared" si="1"/>
        <v>4920.2213454583689</v>
      </c>
      <c r="W25" s="42">
        <f t="shared" si="1"/>
        <v>4920.2213454583689</v>
      </c>
      <c r="X25" s="42">
        <f t="shared" si="1"/>
        <v>4920.2213454583689</v>
      </c>
      <c r="Y25" s="42">
        <f t="shared" si="1"/>
        <v>4920.2213454583689</v>
      </c>
      <c r="Z25" s="42">
        <f t="shared" si="1"/>
        <v>4920.2213454583689</v>
      </c>
      <c r="AA25" s="42">
        <f t="shared" si="1"/>
        <v>4920.2213454583689</v>
      </c>
      <c r="AE25" s="231" t="s">
        <v>867</v>
      </c>
      <c r="AF25" s="42">
        <v>0</v>
      </c>
      <c r="AG25" s="42">
        <f>SUMPRODUCT(('Sistemas de Cond. Ambiental'!C3:C896&lt;&gt;"")*'Sistemas de Cond. Ambiental'!S3:S896)*$K$4*$E$4</f>
        <v>7550.7459345797297</v>
      </c>
      <c r="AH25" s="42">
        <f t="shared" ref="AH25:AP25" si="2">AG25</f>
        <v>7550.7459345797297</v>
      </c>
      <c r="AI25" s="42">
        <f t="shared" si="2"/>
        <v>7550.7459345797297</v>
      </c>
      <c r="AJ25" s="42">
        <f t="shared" si="2"/>
        <v>7550.7459345797297</v>
      </c>
      <c r="AK25" s="42">
        <f t="shared" si="2"/>
        <v>7550.7459345797297</v>
      </c>
      <c r="AL25" s="42">
        <f t="shared" si="2"/>
        <v>7550.7459345797297</v>
      </c>
      <c r="AM25" s="42">
        <f t="shared" si="2"/>
        <v>7550.7459345797297</v>
      </c>
      <c r="AN25" s="42">
        <f t="shared" si="2"/>
        <v>7550.7459345797297</v>
      </c>
      <c r="AO25" s="42">
        <f t="shared" si="2"/>
        <v>7550.7459345797297</v>
      </c>
      <c r="AP25" s="42">
        <f t="shared" si="2"/>
        <v>7550.7459345797297</v>
      </c>
      <c r="AQ25" s="42"/>
      <c r="AV25" s="34"/>
      <c r="AW25" s="34"/>
      <c r="AX25" s="34"/>
    </row>
    <row r="26" spans="1:51" s="34" customFormat="1" ht="17.25" customHeight="1" x14ac:dyDescent="0.25">
      <c r="A26" s="44" t="s">
        <v>868</v>
      </c>
      <c r="B26" s="45">
        <f t="shared" ref="B26:L26" si="3">SUM(B24:B25)</f>
        <v>-22857.3</v>
      </c>
      <c r="C26" s="45">
        <f t="shared" si="3"/>
        <v>9721.7451454922593</v>
      </c>
      <c r="D26" s="45">
        <f t="shared" si="3"/>
        <v>9721.7451454922593</v>
      </c>
      <c r="E26" s="45">
        <f t="shared" si="3"/>
        <v>9721.7451454922593</v>
      </c>
      <c r="F26" s="45">
        <f t="shared" si="3"/>
        <v>9721.7451454922593</v>
      </c>
      <c r="G26" s="45">
        <f t="shared" si="3"/>
        <v>9721.7451454922593</v>
      </c>
      <c r="H26" s="45">
        <f t="shared" si="3"/>
        <v>9721.7451454922593</v>
      </c>
      <c r="I26" s="45">
        <f t="shared" si="3"/>
        <v>9721.7451454922593</v>
      </c>
      <c r="J26" s="45">
        <f t="shared" si="3"/>
        <v>9721.7451454922593</v>
      </c>
      <c r="K26" s="45">
        <f t="shared" si="3"/>
        <v>9721.7451454922593</v>
      </c>
      <c r="L26" s="45">
        <f t="shared" si="3"/>
        <v>9721.7451454922593</v>
      </c>
      <c r="P26" s="44" t="s">
        <v>868</v>
      </c>
      <c r="Q26" s="45">
        <f t="shared" ref="Q26:AA26" si="4">SUM(Q24:Q25)</f>
        <v>-17182</v>
      </c>
      <c r="R26" s="45">
        <f t="shared" si="4"/>
        <v>4920.2213454583689</v>
      </c>
      <c r="S26" s="45">
        <f t="shared" si="4"/>
        <v>4920.2213454583689</v>
      </c>
      <c r="T26" s="45">
        <f t="shared" si="4"/>
        <v>4920.2213454583689</v>
      </c>
      <c r="U26" s="45">
        <f t="shared" si="4"/>
        <v>4920.2213454583689</v>
      </c>
      <c r="V26" s="45">
        <f t="shared" si="4"/>
        <v>4920.2213454583689</v>
      </c>
      <c r="W26" s="45">
        <f t="shared" si="4"/>
        <v>4920.2213454583689</v>
      </c>
      <c r="X26" s="45">
        <f t="shared" si="4"/>
        <v>4920.2213454583689</v>
      </c>
      <c r="Y26" s="45">
        <f t="shared" si="4"/>
        <v>4920.2213454583689</v>
      </c>
      <c r="Z26" s="45">
        <f t="shared" si="4"/>
        <v>4920.2213454583689</v>
      </c>
      <c r="AA26" s="45">
        <f t="shared" si="4"/>
        <v>4920.2213454583689</v>
      </c>
      <c r="AE26" s="44" t="s">
        <v>868</v>
      </c>
      <c r="AF26" s="45">
        <f t="shared" ref="AF26:AP26" si="5">SUM(AF24:AF25)</f>
        <v>-5675.3</v>
      </c>
      <c r="AG26" s="45">
        <f t="shared" si="5"/>
        <v>5293.5459345797299</v>
      </c>
      <c r="AH26" s="45">
        <f t="shared" si="5"/>
        <v>5293.5459345797299</v>
      </c>
      <c r="AI26" s="45">
        <f t="shared" si="5"/>
        <v>5293.5459345797299</v>
      </c>
      <c r="AJ26" s="45">
        <f t="shared" si="5"/>
        <v>5293.5459345797299</v>
      </c>
      <c r="AK26" s="45">
        <f t="shared" si="5"/>
        <v>5293.5459345797299</v>
      </c>
      <c r="AL26" s="45">
        <f t="shared" si="5"/>
        <v>5293.5459345797299</v>
      </c>
      <c r="AM26" s="45">
        <f t="shared" si="5"/>
        <v>5293.5459345797299</v>
      </c>
      <c r="AN26" s="45">
        <f t="shared" si="5"/>
        <v>5293.5459345797299</v>
      </c>
      <c r="AO26" s="45">
        <f t="shared" si="5"/>
        <v>5293.5459345797299</v>
      </c>
      <c r="AP26" s="45">
        <f t="shared" si="5"/>
        <v>5293.5459345797299</v>
      </c>
      <c r="AQ26" s="42"/>
    </row>
    <row r="27" spans="1:51" s="34" customFormat="1" ht="17.25" customHeight="1" x14ac:dyDescent="0.25">
      <c r="D27" s="35"/>
      <c r="S27" s="35"/>
      <c r="AH27" s="35"/>
    </row>
    <row r="28" spans="1:51" s="34" customFormat="1" ht="19.5" customHeight="1" x14ac:dyDescent="0.25">
      <c r="B28" s="45">
        <f>B26/(1+$B$5)^(B23)</f>
        <v>-22857.3</v>
      </c>
      <c r="C28" s="45">
        <f t="shared" ref="C28:L28" si="6">C26/(1+$B$5)^(C23)+B28</f>
        <v>-14403.608569137165</v>
      </c>
      <c r="D28" s="45">
        <f t="shared" si="6"/>
        <v>-7052.5725422999158</v>
      </c>
      <c r="E28" s="45">
        <f t="shared" si="6"/>
        <v>-660.36730157187321</v>
      </c>
      <c r="F28" s="45">
        <f t="shared" si="6"/>
        <v>4898.0720381916426</v>
      </c>
      <c r="G28" s="45">
        <f t="shared" si="6"/>
        <v>9731.4975510294826</v>
      </c>
      <c r="H28" s="45">
        <f t="shared" si="6"/>
        <v>13934.476257844995</v>
      </c>
      <c r="I28" s="45">
        <f t="shared" si="6"/>
        <v>17589.240350728051</v>
      </c>
      <c r="J28" s="45">
        <f t="shared" si="6"/>
        <v>20767.29608366984</v>
      </c>
      <c r="K28" s="45">
        <f t="shared" si="6"/>
        <v>23530.822807967048</v>
      </c>
      <c r="L28" s="45">
        <f t="shared" si="6"/>
        <v>25933.889524747228</v>
      </c>
      <c r="Q28" s="45">
        <f>Q26/(1+$B$5)^(Q23)</f>
        <v>-17182</v>
      </c>
      <c r="R28" s="45">
        <f t="shared" ref="R28:AA28" si="7">R26/(1+$B$5)^(R23)+Q28</f>
        <v>-12903.546656123157</v>
      </c>
      <c r="S28" s="45">
        <f t="shared" si="7"/>
        <v>-9183.1524440563371</v>
      </c>
      <c r="T28" s="45">
        <f t="shared" si="7"/>
        <v>-5948.027042259102</v>
      </c>
      <c r="U28" s="45">
        <f t="shared" si="7"/>
        <v>-3134.8745189571582</v>
      </c>
      <c r="V28" s="45">
        <f t="shared" si="7"/>
        <v>-688.65493347720712</v>
      </c>
      <c r="W28" s="45">
        <f t="shared" si="7"/>
        <v>1438.4925321575333</v>
      </c>
      <c r="X28" s="45">
        <f t="shared" si="7"/>
        <v>3288.1859805355689</v>
      </c>
      <c r="Y28" s="45">
        <f t="shared" si="7"/>
        <v>4896.6150660816866</v>
      </c>
      <c r="Z28" s="45">
        <f t="shared" si="7"/>
        <v>6295.2490535130937</v>
      </c>
      <c r="AA28" s="45">
        <f t="shared" si="7"/>
        <v>7511.4525208447521</v>
      </c>
      <c r="AF28" s="45">
        <f>AF26/(1+$B$5)^(AF23)</f>
        <v>-5675.3</v>
      </c>
      <c r="AG28" s="45">
        <f t="shared" ref="AG28:AP28" si="8">AG26/(1+$B$5)^(AG23)+AF28</f>
        <v>-1072.2165786263213</v>
      </c>
      <c r="AH28" s="45">
        <f t="shared" si="8"/>
        <v>2930.4646573507907</v>
      </c>
      <c r="AI28" s="45">
        <f t="shared" si="8"/>
        <v>6411.0570364613232</v>
      </c>
      <c r="AJ28" s="45">
        <f t="shared" si="8"/>
        <v>9437.6591052530912</v>
      </c>
      <c r="AK28" s="45">
        <f t="shared" si="8"/>
        <v>12069.486991158976</v>
      </c>
      <c r="AL28" s="45">
        <f t="shared" si="8"/>
        <v>14358.032978903224</v>
      </c>
      <c r="AM28" s="45">
        <f t="shared" si="8"/>
        <v>16348.072968246048</v>
      </c>
      <c r="AN28" s="45">
        <f t="shared" si="8"/>
        <v>18078.542524196331</v>
      </c>
      <c r="AO28" s="45">
        <f t="shared" si="8"/>
        <v>19583.298659805274</v>
      </c>
      <c r="AP28" s="45">
        <f t="shared" si="8"/>
        <v>20891.782255986964</v>
      </c>
      <c r="AQ28" s="42"/>
    </row>
    <row r="29" spans="1:51" s="34" customFormat="1" ht="22.5" customHeight="1" x14ac:dyDescent="0.25">
      <c r="B29" s="226">
        <f t="array" ref="B29">(SUMPRODUCT(('Sistemas de Cond. Ambiental'!C3:C896&lt;&gt;"")*'Sistemas de Cond. Ambiental'!AN3:AN896)+(H3*SUMPRODUCT(('Sistemas de Cond. Ambiental'!C3:C896&lt;&gt;"")*('Sistemas de Cond. Ambiental'!AM3:AM896&lt;&gt;0)*'Sistemas de Cond. Ambiental'!Z3:Z896))+(H5*SUMPRODUCT(('Sistemas de Cond. Ambiental'!C3:C896&lt;&gt;"")*'Sistemas de Cond. Ambiental'!I3:I896))+(H6*12*SUMPRODUCT(('Sistemas de Cond. Ambiental'!C3:C896&lt;&gt;"")*'Sistemas de Cond. Ambiental'!I3:I896)))</f>
        <v>22857.3</v>
      </c>
      <c r="D29" s="35"/>
      <c r="Q29" s="226">
        <f t="array" ref="Q29">(SUMPRODUCT(('Sistemas de Cond. Ambiental'!C3:C896&lt;&gt;"")*'Sistemas de Cond. Ambiental'!AN3:AN896)+(H3*SUMPRODUCT(('Sistemas de Cond. Ambiental'!C3:C896&lt;&gt;"")*('Sistemas de Cond. Ambiental'!AM3:AM896&lt;&gt;0)*'Sistemas de Cond. Ambiental'!Z3:Z896)))</f>
        <v>17182</v>
      </c>
      <c r="S29" s="35"/>
      <c r="AF29" s="226">
        <f t="array" ref="AF29">((SUMPRODUCT(('Sistemas de Cond. Ambiental'!C3:C896&lt;&gt;"")*'Sistemas de Cond. Ambiental'!I3:I896)*H5)+(H6*12*SUMPRODUCT(('Sistemas de Cond. Ambiental'!C3:C896&lt;&gt;"")*'Sistemas de Cond. Ambiental'!I3:I896)))</f>
        <v>5675.3</v>
      </c>
      <c r="AG29" s="226">
        <f t="array" ref="AG29">($H$6*12*SUMPRODUCT(('Sistemas de Cond. Ambiental'!C3:C896&lt;&gt;"")*'Sistemas de Cond. Ambiental'!I3:I896))</f>
        <v>2257.2000000000003</v>
      </c>
      <c r="AH29" s="226">
        <f t="array" ref="AH29">($H$6*12*SUMPRODUCT(('Sistemas de Cond. Ambiental'!C3:C896&lt;&gt;"")*'Sistemas de Cond. Ambiental'!I3:I896))</f>
        <v>2257.2000000000003</v>
      </c>
      <c r="AI29" s="226">
        <f t="array" ref="AI29">($H$6*12*SUMPRODUCT(('Sistemas de Cond. Ambiental'!C3:C896&lt;&gt;"")*'Sistemas de Cond. Ambiental'!I3:I896))</f>
        <v>2257.2000000000003</v>
      </c>
      <c r="AJ29" s="226">
        <f t="array" ref="AJ29">($H$6*12*SUMPRODUCT(('Sistemas de Cond. Ambiental'!C3:C896&lt;&gt;"")*'Sistemas de Cond. Ambiental'!I3:I896))</f>
        <v>2257.2000000000003</v>
      </c>
      <c r="AK29" s="226">
        <f t="array" ref="AK29">($H$6*12*SUMPRODUCT(('Sistemas de Cond. Ambiental'!C3:C896&lt;&gt;"")*'Sistemas de Cond. Ambiental'!I3:I896))</f>
        <v>2257.2000000000003</v>
      </c>
      <c r="AL29" s="226">
        <f t="array" ref="AL29">($H$6*12*SUMPRODUCT(('Sistemas de Cond. Ambiental'!C3:C896&lt;&gt;"")*'Sistemas de Cond. Ambiental'!I3:I896))</f>
        <v>2257.2000000000003</v>
      </c>
      <c r="AM29" s="226">
        <f t="array" ref="AM29">($H$6*12*SUMPRODUCT(('Sistemas de Cond. Ambiental'!C3:C896&lt;&gt;"")*'Sistemas de Cond. Ambiental'!I3:I896))</f>
        <v>2257.2000000000003</v>
      </c>
      <c r="AN29" s="226">
        <f t="array" ref="AN29">($H$6*12*SUMPRODUCT(('Sistemas de Cond. Ambiental'!C3:C896&lt;&gt;"")*'Sistemas de Cond. Ambiental'!I3:I896))</f>
        <v>2257.2000000000003</v>
      </c>
      <c r="AO29" s="226">
        <f t="array" ref="AO29">($H$6*12*SUMPRODUCT(('Sistemas de Cond. Ambiental'!C3:C896&lt;&gt;"")*'Sistemas de Cond. Ambiental'!I3:I896))</f>
        <v>2257.2000000000003</v>
      </c>
      <c r="AP29" s="226">
        <f t="array" ref="AP29">($H$6*12*SUMPRODUCT(('Sistemas de Cond. Ambiental'!C3:C896&lt;&gt;"")*'Sistemas de Cond. Ambiental'!I3:I896))</f>
        <v>2257.2000000000003</v>
      </c>
      <c r="AQ29" s="226">
        <f>SUM(AF29:AP29)</f>
        <v>28247.300000000007</v>
      </c>
    </row>
    <row r="30" spans="1:51" s="34" customFormat="1" x14ac:dyDescent="0.25">
      <c r="A30" s="46"/>
      <c r="B30" s="46" t="s">
        <v>869</v>
      </c>
      <c r="C30" s="47">
        <f>IFERROR(IRR(B26:L26),"N/A")</f>
        <v>0.41180341578054458</v>
      </c>
      <c r="D30" s="48"/>
      <c r="E30" s="46"/>
      <c r="F30" s="49"/>
      <c r="P30" s="46"/>
      <c r="Q30" s="46" t="s">
        <v>869</v>
      </c>
      <c r="R30" s="47">
        <f>IFERROR(IRR(Q26:AA26),"N/A")</f>
        <v>0.25736602025438526</v>
      </c>
      <c r="S30" s="48"/>
      <c r="T30" s="46"/>
      <c r="U30" s="49"/>
      <c r="AE30" s="46"/>
      <c r="AF30" s="46" t="s">
        <v>869</v>
      </c>
      <c r="AG30" s="47">
        <f>IFERROR(IRR(AF26:AP26),"N/A")</f>
        <v>0.93144307996312325</v>
      </c>
      <c r="AH30" s="48"/>
      <c r="AI30" s="46"/>
      <c r="AJ30" s="49"/>
    </row>
    <row r="31" spans="1:51" s="34" customFormat="1" x14ac:dyDescent="0.25">
      <c r="B31" s="46" t="s">
        <v>870</v>
      </c>
      <c r="C31" s="50">
        <f>C32/-B28</f>
        <v>1.1345998663336099</v>
      </c>
      <c r="D31" s="35"/>
      <c r="E31" s="46"/>
      <c r="F31" s="51"/>
      <c r="Q31" s="46" t="s">
        <v>870</v>
      </c>
      <c r="R31" s="50">
        <f>R32/-Q28</f>
        <v>0.43716985920409474</v>
      </c>
      <c r="S31" s="35"/>
      <c r="T31" s="46"/>
      <c r="U31" s="51"/>
      <c r="AF31" s="46" t="s">
        <v>870</v>
      </c>
      <c r="AG31" s="50">
        <f>AG32/-AF28</f>
        <v>3.6811767229903198</v>
      </c>
      <c r="AH31" s="35"/>
      <c r="AI31" s="46"/>
      <c r="AJ31" s="51"/>
    </row>
    <row r="32" spans="1:51" s="34" customFormat="1" x14ac:dyDescent="0.25">
      <c r="B32" s="46" t="s">
        <v>871</v>
      </c>
      <c r="C32" s="49">
        <f>B26+NPV($B$5,C26:L26)</f>
        <v>25933.889524747221</v>
      </c>
      <c r="D32" s="35"/>
      <c r="Q32" s="46" t="s">
        <v>871</v>
      </c>
      <c r="R32" s="49">
        <f>Q26+NPV($B$5,R26:AA26)</f>
        <v>7511.4525208447558</v>
      </c>
      <c r="S32" s="35"/>
      <c r="AF32" s="46" t="s">
        <v>871</v>
      </c>
      <c r="AG32" s="49">
        <f>AF26+NPV($B$5,AG26:AP26)</f>
        <v>20891.782255986964</v>
      </c>
      <c r="AH32" s="35"/>
    </row>
    <row r="33" spans="1:42" s="34" customFormat="1" x14ac:dyDescent="0.25">
      <c r="B33" s="46" t="s">
        <v>872</v>
      </c>
      <c r="C33" s="52">
        <f>(-1*B24)/C26</f>
        <v>2.3511519442163511</v>
      </c>
      <c r="D33" s="53" t="s">
        <v>873</v>
      </c>
      <c r="Q33" s="46" t="s">
        <v>872</v>
      </c>
      <c r="R33" s="52">
        <f>(-1*Q24)/R26</f>
        <v>3.4921193161075808</v>
      </c>
      <c r="S33" s="53" t="s">
        <v>873</v>
      </c>
      <c r="AF33" s="46" t="s">
        <v>872</v>
      </c>
      <c r="AG33" s="52">
        <f>(-1*AF24)/AG26</f>
        <v>1.0721168891586428</v>
      </c>
      <c r="AH33" s="53" t="s">
        <v>873</v>
      </c>
    </row>
    <row r="34" spans="1:42" ht="15" customHeight="1" x14ac:dyDescent="0.25">
      <c r="B34" s="46" t="s">
        <v>874</v>
      </c>
      <c r="C34" s="234">
        <f>C25/$E$4</f>
        <v>6.0593684963855416</v>
      </c>
      <c r="Q34" s="46" t="s">
        <v>874</v>
      </c>
      <c r="R34" s="207">
        <f>R25/$E$4</f>
        <v>2.4888196626506027</v>
      </c>
      <c r="AF34" s="46" t="s">
        <v>874</v>
      </c>
      <c r="AG34" s="207">
        <f>AG25/$E$4</f>
        <v>3.8194308000000001</v>
      </c>
    </row>
    <row r="35" spans="1:42" ht="26.1" customHeight="1" x14ac:dyDescent="0.25">
      <c r="AF35" s="46"/>
    </row>
    <row r="37" spans="1:42" ht="21" customHeight="1" x14ac:dyDescent="0.25">
      <c r="A37" s="452" t="s">
        <v>875</v>
      </c>
      <c r="B37" s="440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P37" s="448" t="s">
        <v>876</v>
      </c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E37" s="448" t="s">
        <v>877</v>
      </c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</row>
    <row r="38" spans="1:42" ht="26.1" customHeight="1" x14ac:dyDescent="0.25">
      <c r="A38" s="36" t="s">
        <v>865</v>
      </c>
      <c r="B38" s="37">
        <v>0</v>
      </c>
      <c r="C38" s="37">
        <v>1</v>
      </c>
      <c r="D38" s="37">
        <v>2</v>
      </c>
      <c r="E38" s="37">
        <v>3</v>
      </c>
      <c r="F38" s="37">
        <v>4</v>
      </c>
      <c r="G38" s="37">
        <v>5</v>
      </c>
      <c r="H38" s="37">
        <v>6</v>
      </c>
      <c r="I38" s="37">
        <v>7</v>
      </c>
      <c r="J38" s="37">
        <v>8</v>
      </c>
      <c r="K38" s="37">
        <v>9</v>
      </c>
      <c r="L38" s="37">
        <v>10</v>
      </c>
      <c r="P38" s="36" t="s">
        <v>865</v>
      </c>
      <c r="Q38" s="37">
        <v>0</v>
      </c>
      <c r="R38" s="37">
        <v>1</v>
      </c>
      <c r="S38" s="37">
        <v>2</v>
      </c>
      <c r="T38" s="37">
        <v>3</v>
      </c>
      <c r="U38" s="37">
        <v>4</v>
      </c>
      <c r="V38" s="37">
        <v>5</v>
      </c>
      <c r="W38" s="37">
        <v>6</v>
      </c>
      <c r="X38" s="37">
        <v>7</v>
      </c>
      <c r="Y38" s="37">
        <v>8</v>
      </c>
      <c r="Z38" s="37">
        <v>9</v>
      </c>
      <c r="AA38" s="37">
        <v>10</v>
      </c>
      <c r="AE38" s="36" t="s">
        <v>865</v>
      </c>
      <c r="AF38" s="37">
        <v>0</v>
      </c>
      <c r="AG38" s="37">
        <v>1</v>
      </c>
      <c r="AH38" s="37">
        <v>2</v>
      </c>
      <c r="AI38" s="37">
        <v>3</v>
      </c>
      <c r="AJ38" s="37">
        <v>4</v>
      </c>
      <c r="AK38" s="37">
        <v>5</v>
      </c>
      <c r="AL38" s="37">
        <v>6</v>
      </c>
      <c r="AM38" s="37">
        <v>7</v>
      </c>
      <c r="AN38" s="37">
        <v>8</v>
      </c>
      <c r="AO38" s="37">
        <v>9</v>
      </c>
      <c r="AP38" s="37">
        <v>10</v>
      </c>
    </row>
    <row r="39" spans="1:42" ht="36" customHeight="1" x14ac:dyDescent="0.25">
      <c r="A39" s="39" t="s">
        <v>866</v>
      </c>
      <c r="B39" s="40">
        <f>-($K$7*($H$5+$K$8))</f>
        <v>-899.69999999999993</v>
      </c>
      <c r="C39" s="40">
        <f>-($H$6*12*$K$7)</f>
        <v>-356.40000000000003</v>
      </c>
      <c r="D39" s="40">
        <f t="shared" ref="D39:L39" si="9">-($H$6*12*$K$7)</f>
        <v>-356.40000000000003</v>
      </c>
      <c r="E39" s="40">
        <f t="shared" si="9"/>
        <v>-356.40000000000003</v>
      </c>
      <c r="F39" s="40">
        <f t="shared" si="9"/>
        <v>-356.40000000000003</v>
      </c>
      <c r="G39" s="40">
        <f t="shared" si="9"/>
        <v>-356.40000000000003</v>
      </c>
      <c r="H39" s="40">
        <f t="shared" si="9"/>
        <v>-356.40000000000003</v>
      </c>
      <c r="I39" s="40">
        <f t="shared" si="9"/>
        <v>-356.40000000000003</v>
      </c>
      <c r="J39" s="40">
        <f t="shared" si="9"/>
        <v>-356.40000000000003</v>
      </c>
      <c r="K39" s="40">
        <f t="shared" si="9"/>
        <v>-356.40000000000003</v>
      </c>
      <c r="L39" s="40">
        <f t="shared" si="9"/>
        <v>-356.40000000000003</v>
      </c>
      <c r="P39" s="39" t="s">
        <v>866</v>
      </c>
      <c r="Q39" s="40">
        <f>-((W5*(COUNTA('Sistemas de Iluminação'!S:S)-1))+(W6*12*(COUNTA('Sistemas de Iluminação'!S:S)-1)))</f>
        <v>0</v>
      </c>
      <c r="R39" s="40">
        <f>-($H$6*12*(COUNTA('Sistemas de Iluminação'!$C:$C)-1))</f>
        <v>-2376</v>
      </c>
      <c r="S39" s="40">
        <f>-($H$6*12*(COUNTA('Sistemas de Iluminação'!$C:$C)-1))</f>
        <v>-2376</v>
      </c>
      <c r="T39" s="40">
        <f>-($H$6*12*(COUNTA('Sistemas de Iluminação'!$C:$C)-1))</f>
        <v>-2376</v>
      </c>
      <c r="U39" s="40">
        <f>-($H$6*12*(COUNTA('Sistemas de Iluminação'!$C:$C)-1))</f>
        <v>-2376</v>
      </c>
      <c r="V39" s="40">
        <f>-($H$6*12*(COUNTA('Sistemas de Iluminação'!$C:$C)-1))</f>
        <v>-2376</v>
      </c>
      <c r="W39" s="40">
        <f>-($H$6*12*(COUNTA('Sistemas de Iluminação'!$C:$C)-1))</f>
        <v>-2376</v>
      </c>
      <c r="X39" s="40">
        <f>-($H$6*12*(COUNTA('Sistemas de Iluminação'!$C:$C)-1))</f>
        <v>-2376</v>
      </c>
      <c r="Y39" s="40">
        <f>-($H$6*12*(COUNTA('Sistemas de Iluminação'!$C:$C)-1))</f>
        <v>-2376</v>
      </c>
      <c r="Z39" s="40">
        <f>-($H$6*12*(COUNTA('Sistemas de Iluminação'!$C:$C)-1))</f>
        <v>-2376</v>
      </c>
      <c r="AA39" s="40">
        <f>-($H$6*12*(COUNTA('Sistemas de Iluminação'!$C:$C)-1))</f>
        <v>-2376</v>
      </c>
      <c r="AE39" s="39" t="s">
        <v>866</v>
      </c>
      <c r="AF39" s="40">
        <f>-((AL5*(COUNTA('Sistemas de Iluminação'!AH:AH)-1))+(AL6*12*(COUNTA('Sistemas de Iluminação'!AH:AH)-1)))</f>
        <v>0</v>
      </c>
      <c r="AG39" s="40">
        <f>-($H$6*12*(COUNTA('Sistemas de Iluminação'!$C:$C)-1))</f>
        <v>-2376</v>
      </c>
      <c r="AH39" s="40">
        <f>-($H$6*12*(COUNTA('Sistemas de Iluminação'!$C:$C)-1))</f>
        <v>-2376</v>
      </c>
      <c r="AI39" s="40">
        <f>-($H$6*12*(COUNTA('Sistemas de Iluminação'!$C:$C)-1))</f>
        <v>-2376</v>
      </c>
      <c r="AJ39" s="40">
        <f>-($H$6*12*(COUNTA('Sistemas de Iluminação'!$C:$C)-1))</f>
        <v>-2376</v>
      </c>
      <c r="AK39" s="40">
        <f>-($H$6*12*(COUNTA('Sistemas de Iluminação'!$C:$C)-1))</f>
        <v>-2376</v>
      </c>
      <c r="AL39" s="40">
        <f>-($H$6*12*(COUNTA('Sistemas de Iluminação'!$C:$C)-1))</f>
        <v>-2376</v>
      </c>
      <c r="AM39" s="40">
        <f>-($H$6*12*(COUNTA('Sistemas de Iluminação'!$C:$C)-1))</f>
        <v>-2376</v>
      </c>
      <c r="AN39" s="40">
        <f>-($H$6*12*(COUNTA('Sistemas de Iluminação'!$C:$C)-1))</f>
        <v>-2376</v>
      </c>
      <c r="AO39" s="40">
        <f>-($H$6*12*(COUNTA('Sistemas de Iluminação'!$C:$C)-1))</f>
        <v>-2376</v>
      </c>
      <c r="AP39" s="40">
        <f>-($H$6*12*(COUNTA('Sistemas de Iluminação'!$C:$C)-1))</f>
        <v>-2376</v>
      </c>
    </row>
    <row r="40" spans="1:42" ht="15" customHeight="1" x14ac:dyDescent="0.25">
      <c r="A40" s="41" t="s">
        <v>867</v>
      </c>
      <c r="B40" s="42">
        <v>0</v>
      </c>
      <c r="C40" s="42">
        <f>SUMPRODUCT(('Sistemas de Iluminação'!C4:C781&lt;&gt;"")*'Sistemas de Iluminação'!Q4:Q781)*$K$4*$E$4</f>
        <v>845.04722123766965</v>
      </c>
      <c r="D40" s="42">
        <f>C40</f>
        <v>845.04722123766965</v>
      </c>
      <c r="E40" s="42">
        <f>C40</f>
        <v>845.04722123766965</v>
      </c>
      <c r="F40" s="42">
        <f>C40</f>
        <v>845.04722123766965</v>
      </c>
      <c r="G40" s="42">
        <f>C40</f>
        <v>845.04722123766965</v>
      </c>
      <c r="H40" s="42">
        <f>C40</f>
        <v>845.04722123766965</v>
      </c>
      <c r="I40" s="42">
        <f>C40</f>
        <v>845.04722123766965</v>
      </c>
      <c r="J40" s="42">
        <f>C40</f>
        <v>845.04722123766965</v>
      </c>
      <c r="K40" s="42">
        <f>C40</f>
        <v>845.04722123766965</v>
      </c>
      <c r="L40" s="42">
        <f>C40</f>
        <v>845.04722123766965</v>
      </c>
      <c r="P40" s="41" t="s">
        <v>867</v>
      </c>
      <c r="Q40" s="42">
        <v>0</v>
      </c>
      <c r="R40" s="42">
        <f>SUMPRODUCT(('Sistemas de Iluminação'!S4:S781&lt;&gt;"")*'Sistemas de Iluminação'!AF4:AF781)*$K$4*$E$4</f>
        <v>0</v>
      </c>
      <c r="S40" s="42">
        <f>R40</f>
        <v>0</v>
      </c>
      <c r="T40" s="42">
        <f>R40</f>
        <v>0</v>
      </c>
      <c r="U40" s="42">
        <f>R40</f>
        <v>0</v>
      </c>
      <c r="V40" s="42">
        <f>R40</f>
        <v>0</v>
      </c>
      <c r="W40" s="42">
        <f>R40</f>
        <v>0</v>
      </c>
      <c r="X40" s="42">
        <f>R40</f>
        <v>0</v>
      </c>
      <c r="Y40" s="42">
        <f>R40</f>
        <v>0</v>
      </c>
      <c r="Z40" s="42">
        <f>R40</f>
        <v>0</v>
      </c>
      <c r="AA40" s="42">
        <f>R40</f>
        <v>0</v>
      </c>
      <c r="AE40" s="41" t="s">
        <v>867</v>
      </c>
      <c r="AF40" s="42">
        <v>0</v>
      </c>
      <c r="AG40" s="42">
        <f>SUMPRODUCT(('Sistemas de Iluminação'!AH4:AH781&lt;&gt;"")*'Sistemas de Iluminação'!AU4:AU781)*$K$4*$E$4</f>
        <v>0</v>
      </c>
      <c r="AH40" s="42">
        <f>AG40</f>
        <v>0</v>
      </c>
      <c r="AI40" s="42">
        <f>AG40</f>
        <v>0</v>
      </c>
      <c r="AJ40" s="42">
        <f>AG40</f>
        <v>0</v>
      </c>
      <c r="AK40" s="42">
        <f>AG40</f>
        <v>0</v>
      </c>
      <c r="AL40" s="42">
        <f>AG40</f>
        <v>0</v>
      </c>
      <c r="AM40" s="42">
        <f>AG40</f>
        <v>0</v>
      </c>
      <c r="AN40" s="42">
        <f>AG40</f>
        <v>0</v>
      </c>
      <c r="AO40" s="42">
        <f>AG40</f>
        <v>0</v>
      </c>
      <c r="AP40" s="42">
        <f>AG40</f>
        <v>0</v>
      </c>
    </row>
    <row r="41" spans="1:42" ht="15" customHeight="1" x14ac:dyDescent="0.25">
      <c r="A41" s="44" t="s">
        <v>868</v>
      </c>
      <c r="B41" s="45">
        <f t="shared" ref="B41:L41" si="10">SUM(B39:B40)</f>
        <v>-899.69999999999993</v>
      </c>
      <c r="C41" s="45">
        <f t="shared" si="10"/>
        <v>488.64722123766961</v>
      </c>
      <c r="D41" s="45">
        <f t="shared" si="10"/>
        <v>488.64722123766961</v>
      </c>
      <c r="E41" s="45">
        <f t="shared" si="10"/>
        <v>488.64722123766961</v>
      </c>
      <c r="F41" s="45">
        <f t="shared" si="10"/>
        <v>488.64722123766961</v>
      </c>
      <c r="G41" s="45">
        <f t="shared" si="10"/>
        <v>488.64722123766961</v>
      </c>
      <c r="H41" s="45">
        <f t="shared" si="10"/>
        <v>488.64722123766961</v>
      </c>
      <c r="I41" s="45">
        <f t="shared" si="10"/>
        <v>488.64722123766961</v>
      </c>
      <c r="J41" s="45">
        <f t="shared" si="10"/>
        <v>488.64722123766961</v>
      </c>
      <c r="K41" s="45">
        <f t="shared" si="10"/>
        <v>488.64722123766961</v>
      </c>
      <c r="L41" s="45">
        <f t="shared" si="10"/>
        <v>488.64722123766961</v>
      </c>
      <c r="P41" s="44" t="s">
        <v>868</v>
      </c>
      <c r="Q41" s="45">
        <f t="shared" ref="Q41:AA41" si="11">SUM(Q39:Q40)</f>
        <v>0</v>
      </c>
      <c r="R41" s="45">
        <f t="shared" si="11"/>
        <v>-2376</v>
      </c>
      <c r="S41" s="45">
        <f t="shared" si="11"/>
        <v>-2376</v>
      </c>
      <c r="T41" s="45">
        <f t="shared" si="11"/>
        <v>-2376</v>
      </c>
      <c r="U41" s="45">
        <f t="shared" si="11"/>
        <v>-2376</v>
      </c>
      <c r="V41" s="45">
        <f t="shared" si="11"/>
        <v>-2376</v>
      </c>
      <c r="W41" s="45">
        <f t="shared" si="11"/>
        <v>-2376</v>
      </c>
      <c r="X41" s="45">
        <f t="shared" si="11"/>
        <v>-2376</v>
      </c>
      <c r="Y41" s="45">
        <f t="shared" si="11"/>
        <v>-2376</v>
      </c>
      <c r="Z41" s="45">
        <f t="shared" si="11"/>
        <v>-2376</v>
      </c>
      <c r="AA41" s="45">
        <f t="shared" si="11"/>
        <v>-2376</v>
      </c>
      <c r="AE41" s="44" t="s">
        <v>868</v>
      </c>
      <c r="AF41" s="45">
        <f t="shared" ref="AF41:AP41" si="12">SUM(AF39:AF40)</f>
        <v>0</v>
      </c>
      <c r="AG41" s="45">
        <f t="shared" si="12"/>
        <v>-2376</v>
      </c>
      <c r="AH41" s="45">
        <f t="shared" si="12"/>
        <v>-2376</v>
      </c>
      <c r="AI41" s="45">
        <f t="shared" si="12"/>
        <v>-2376</v>
      </c>
      <c r="AJ41" s="45">
        <f t="shared" si="12"/>
        <v>-2376</v>
      </c>
      <c r="AK41" s="45">
        <f t="shared" si="12"/>
        <v>-2376</v>
      </c>
      <c r="AL41" s="45">
        <f t="shared" si="12"/>
        <v>-2376</v>
      </c>
      <c r="AM41" s="45">
        <f t="shared" si="12"/>
        <v>-2376</v>
      </c>
      <c r="AN41" s="45">
        <f t="shared" si="12"/>
        <v>-2376</v>
      </c>
      <c r="AO41" s="45">
        <f t="shared" si="12"/>
        <v>-2376</v>
      </c>
      <c r="AP41" s="45">
        <f t="shared" si="12"/>
        <v>-2376</v>
      </c>
    </row>
    <row r="42" spans="1:42" ht="15" customHeight="1" x14ac:dyDescent="0.25">
      <c r="A42" s="34"/>
      <c r="B42" s="34"/>
      <c r="C42" s="34"/>
      <c r="D42" s="35"/>
      <c r="E42" s="34"/>
      <c r="F42" s="34"/>
      <c r="G42" s="34"/>
      <c r="H42" s="34"/>
      <c r="I42" s="34"/>
      <c r="J42" s="34"/>
      <c r="K42" s="34"/>
      <c r="L42" s="34"/>
      <c r="P42" s="34"/>
      <c r="Q42" s="34"/>
      <c r="R42" s="34"/>
      <c r="S42" s="35"/>
      <c r="T42" s="34"/>
      <c r="U42" s="34"/>
      <c r="V42" s="34"/>
      <c r="W42" s="34"/>
      <c r="X42" s="34"/>
      <c r="Y42" s="34"/>
      <c r="Z42" s="34"/>
      <c r="AA42" s="34"/>
      <c r="AE42" s="34"/>
      <c r="AF42" s="34"/>
      <c r="AG42" s="34"/>
      <c r="AH42" s="35"/>
      <c r="AI42" s="34"/>
      <c r="AJ42" s="34"/>
      <c r="AK42" s="34"/>
      <c r="AL42" s="34"/>
      <c r="AM42" s="34"/>
      <c r="AN42" s="34"/>
      <c r="AO42" s="34"/>
      <c r="AP42" s="34"/>
    </row>
    <row r="43" spans="1:42" ht="15" customHeight="1" x14ac:dyDescent="0.25">
      <c r="A43" s="34"/>
      <c r="B43" s="45">
        <f>B41/(1+$B$5)^(B38)</f>
        <v>-899.69999999999993</v>
      </c>
      <c r="C43" s="45">
        <f t="shared" ref="C43:L43" si="13">C41/(1+$B$5)^(C38)+B43</f>
        <v>-474.78937283680892</v>
      </c>
      <c r="D43" s="45">
        <f t="shared" si="13"/>
        <v>-105.30187095577327</v>
      </c>
      <c r="E43" s="45">
        <f t="shared" si="13"/>
        <v>215.99160894077954</v>
      </c>
      <c r="F43" s="45">
        <f t="shared" si="13"/>
        <v>495.37724363343415</v>
      </c>
      <c r="G43" s="45">
        <f t="shared" si="13"/>
        <v>738.32127380095994</v>
      </c>
      <c r="H43" s="45">
        <f t="shared" si="13"/>
        <v>949.57695220750406</v>
      </c>
      <c r="I43" s="45">
        <f t="shared" si="13"/>
        <v>1133.2775421262381</v>
      </c>
      <c r="J43" s="45">
        <f t="shared" si="13"/>
        <v>1293.0171855338331</v>
      </c>
      <c r="K43" s="45">
        <f t="shared" si="13"/>
        <v>1431.9212232795678</v>
      </c>
      <c r="L43" s="45">
        <f t="shared" si="13"/>
        <v>1552.7073430584676</v>
      </c>
      <c r="P43" s="34"/>
      <c r="Q43" s="45">
        <f>Q41/(1+$B$5)^(Q38)</f>
        <v>0</v>
      </c>
      <c r="R43" s="45">
        <f t="shared" ref="R43:AA43" si="14">R41/(1+$B$5)^(R38)+Q43</f>
        <v>-2066.0869565217395</v>
      </c>
      <c r="S43" s="45">
        <f t="shared" si="14"/>
        <v>-3862.6843100189044</v>
      </c>
      <c r="T43" s="45">
        <f t="shared" si="14"/>
        <v>-5424.9428782773084</v>
      </c>
      <c r="U43" s="45">
        <f t="shared" si="14"/>
        <v>-6783.4285898063554</v>
      </c>
      <c r="V43" s="45">
        <f t="shared" si="14"/>
        <v>-7964.720512875092</v>
      </c>
      <c r="W43" s="45">
        <f t="shared" si="14"/>
        <v>-8991.9308807609505</v>
      </c>
      <c r="X43" s="45">
        <f t="shared" si="14"/>
        <v>-9885.1572876182181</v>
      </c>
      <c r="Y43" s="45">
        <f t="shared" si="14"/>
        <v>-10661.875902276712</v>
      </c>
      <c r="Z43" s="45">
        <f t="shared" si="14"/>
        <v>-11337.283393284099</v>
      </c>
      <c r="AA43" s="45">
        <f t="shared" si="14"/>
        <v>-11924.594255029651</v>
      </c>
      <c r="AE43" s="34"/>
      <c r="AF43" s="45">
        <f>AF41/(1+$B$5)^(AF38)</f>
        <v>0</v>
      </c>
      <c r="AG43" s="45">
        <f t="shared" ref="AG43:AP43" si="15">AG41/(1+$B$5)^(AG38)+AF43</f>
        <v>-2066.0869565217395</v>
      </c>
      <c r="AH43" s="45">
        <f t="shared" si="15"/>
        <v>-3862.6843100189044</v>
      </c>
      <c r="AI43" s="45">
        <f t="shared" si="15"/>
        <v>-5424.9428782773084</v>
      </c>
      <c r="AJ43" s="45">
        <f t="shared" si="15"/>
        <v>-6783.4285898063554</v>
      </c>
      <c r="AK43" s="45">
        <f t="shared" si="15"/>
        <v>-7964.720512875092</v>
      </c>
      <c r="AL43" s="45">
        <f t="shared" si="15"/>
        <v>-8991.9308807609505</v>
      </c>
      <c r="AM43" s="45">
        <f t="shared" si="15"/>
        <v>-9885.1572876182181</v>
      </c>
      <c r="AN43" s="45">
        <f t="shared" si="15"/>
        <v>-10661.875902276712</v>
      </c>
      <c r="AO43" s="45">
        <f t="shared" si="15"/>
        <v>-11337.283393284099</v>
      </c>
      <c r="AP43" s="45">
        <f t="shared" si="15"/>
        <v>-11924.594255029651</v>
      </c>
    </row>
    <row r="44" spans="1:42" ht="15" customHeight="1" x14ac:dyDescent="0.25">
      <c r="A44" s="34"/>
      <c r="B44" s="34"/>
      <c r="C44" s="34"/>
      <c r="D44" s="35"/>
      <c r="E44" s="34"/>
      <c r="F44" s="34"/>
      <c r="G44" s="34"/>
      <c r="H44" s="34"/>
      <c r="I44" s="34"/>
      <c r="J44" s="34"/>
      <c r="K44" s="34"/>
      <c r="L44" s="34"/>
      <c r="P44" s="34"/>
      <c r="Q44" s="34"/>
      <c r="R44" s="34"/>
      <c r="S44" s="35"/>
      <c r="T44" s="34"/>
      <c r="U44" s="34"/>
      <c r="V44" s="34"/>
      <c r="W44" s="34"/>
      <c r="X44" s="34"/>
      <c r="Y44" s="34"/>
      <c r="Z44" s="34"/>
      <c r="AA44" s="34"/>
      <c r="AE44" s="34"/>
      <c r="AF44" s="34"/>
      <c r="AG44" s="34"/>
      <c r="AH44" s="35"/>
      <c r="AI44" s="34"/>
      <c r="AJ44" s="34"/>
      <c r="AK44" s="34"/>
      <c r="AL44" s="34"/>
      <c r="AM44" s="34"/>
      <c r="AN44" s="34"/>
      <c r="AO44" s="34"/>
      <c r="AP44" s="34"/>
    </row>
    <row r="45" spans="1:42" ht="15" customHeight="1" x14ac:dyDescent="0.25">
      <c r="A45" s="46"/>
      <c r="B45" s="46" t="s">
        <v>869</v>
      </c>
      <c r="C45" s="47">
        <f>IFERROR(IRR(B41:L41),"N/A")</f>
        <v>0.53567680159217823</v>
      </c>
      <c r="D45" s="48"/>
      <c r="E45" s="46"/>
      <c r="F45" s="49"/>
      <c r="G45" s="34"/>
      <c r="H45" s="34"/>
      <c r="I45" s="34"/>
      <c r="J45" s="34"/>
      <c r="K45" s="34"/>
      <c r="L45" s="34"/>
      <c r="P45" s="46"/>
      <c r="Q45" s="46" t="s">
        <v>869</v>
      </c>
      <c r="R45" s="47" t="str">
        <f>IFERROR(IRR(Q41:AA41),"N/A")</f>
        <v>N/A</v>
      </c>
      <c r="S45" s="48"/>
      <c r="T45" s="46"/>
      <c r="U45" s="49"/>
      <c r="V45" s="34"/>
      <c r="W45" s="34"/>
      <c r="X45" s="34"/>
      <c r="Y45" s="34"/>
      <c r="Z45" s="34"/>
      <c r="AA45" s="34"/>
      <c r="AE45" s="46"/>
      <c r="AF45" s="46" t="s">
        <v>869</v>
      </c>
      <c r="AG45" s="47" t="str">
        <f>IFERROR(IRR(AF41:AP41),"N/A")</f>
        <v>N/A</v>
      </c>
      <c r="AH45" s="48"/>
      <c r="AI45" s="46"/>
      <c r="AJ45" s="49"/>
      <c r="AK45" s="34"/>
      <c r="AL45" s="34"/>
      <c r="AM45" s="34"/>
      <c r="AN45" s="34"/>
      <c r="AO45" s="34"/>
      <c r="AP45" s="34"/>
    </row>
    <row r="46" spans="1:42" ht="15" customHeight="1" x14ac:dyDescent="0.25">
      <c r="A46" s="34"/>
      <c r="B46" s="46" t="s">
        <v>870</v>
      </c>
      <c r="C46" s="50">
        <f>C47/-B43</f>
        <v>1.7258056497259837</v>
      </c>
      <c r="D46" s="35"/>
      <c r="E46" s="46"/>
      <c r="F46" s="51"/>
      <c r="G46" s="34"/>
      <c r="H46" s="34"/>
      <c r="I46" s="34"/>
      <c r="J46" s="34"/>
      <c r="K46" s="34"/>
      <c r="L46" s="34"/>
      <c r="P46" s="34"/>
      <c r="Q46" s="46" t="s">
        <v>870</v>
      </c>
      <c r="R46" s="50" t="e">
        <f>R47/-Q43</f>
        <v>#DIV/0!</v>
      </c>
      <c r="S46" s="35"/>
      <c r="T46" s="46"/>
      <c r="U46" s="51"/>
      <c r="V46" s="34"/>
      <c r="W46" s="34"/>
      <c r="X46" s="34"/>
      <c r="Y46" s="34"/>
      <c r="Z46" s="34"/>
      <c r="AA46" s="34"/>
      <c r="AE46" s="34"/>
      <c r="AF46" s="46" t="s">
        <v>870</v>
      </c>
      <c r="AG46" s="50" t="e">
        <f>AG47/-AF43</f>
        <v>#DIV/0!</v>
      </c>
      <c r="AH46" s="35"/>
      <c r="AI46" s="46"/>
      <c r="AJ46" s="51"/>
      <c r="AK46" s="34"/>
      <c r="AL46" s="34"/>
      <c r="AM46" s="34"/>
      <c r="AN46" s="34"/>
      <c r="AO46" s="34"/>
      <c r="AP46" s="34"/>
    </row>
    <row r="47" spans="1:42" ht="15" customHeight="1" x14ac:dyDescent="0.25">
      <c r="A47" s="34"/>
      <c r="B47" s="46" t="s">
        <v>871</v>
      </c>
      <c r="C47" s="49">
        <f>B41+NPV($B$5,C41:L41)</f>
        <v>1552.7073430584674</v>
      </c>
      <c r="D47" s="35"/>
      <c r="E47" s="34"/>
      <c r="F47" s="34"/>
      <c r="G47" s="34"/>
      <c r="H47" s="34"/>
      <c r="I47" s="34"/>
      <c r="J47" s="34"/>
      <c r="K47" s="34"/>
      <c r="L47" s="34"/>
      <c r="P47" s="34"/>
      <c r="Q47" s="46" t="s">
        <v>871</v>
      </c>
      <c r="R47" s="49">
        <f>Q41+NPV($B$5,R41:AA41)</f>
        <v>-11924.594255029651</v>
      </c>
      <c r="S47" s="35"/>
      <c r="T47" s="34"/>
      <c r="U47" s="34"/>
      <c r="V47" s="34"/>
      <c r="W47" s="34"/>
      <c r="X47" s="34"/>
      <c r="Y47" s="34"/>
      <c r="Z47" s="34"/>
      <c r="AA47" s="34"/>
      <c r="AE47" s="34"/>
      <c r="AF47" s="46" t="s">
        <v>871</v>
      </c>
      <c r="AG47" s="49">
        <f>AF41+NPV($B$5,AG41:AP41)</f>
        <v>-11924.594255029651</v>
      </c>
      <c r="AH47" s="35"/>
      <c r="AI47" s="34"/>
      <c r="AJ47" s="34"/>
      <c r="AK47" s="34"/>
      <c r="AL47" s="34"/>
      <c r="AM47" s="34"/>
      <c r="AN47" s="34"/>
      <c r="AO47" s="34"/>
      <c r="AP47" s="34"/>
    </row>
    <row r="48" spans="1:42" ht="15" customHeight="1" x14ac:dyDescent="0.25">
      <c r="A48" s="34"/>
      <c r="B48" s="46" t="s">
        <v>872</v>
      </c>
      <c r="C48" s="52">
        <f>(-1*B39)/C41</f>
        <v>1.8412055996577565</v>
      </c>
      <c r="D48" s="53" t="s">
        <v>873</v>
      </c>
      <c r="E48" s="34"/>
      <c r="F48" s="34"/>
      <c r="G48" s="34"/>
      <c r="H48" s="34"/>
      <c r="I48" s="34"/>
      <c r="J48" s="34"/>
      <c r="K48" s="34"/>
      <c r="L48" s="34"/>
      <c r="P48" s="34"/>
      <c r="Q48" s="46" t="s">
        <v>872</v>
      </c>
      <c r="R48" s="52">
        <f>(-1*Q39)/R41</f>
        <v>0</v>
      </c>
      <c r="S48" s="53" t="s">
        <v>873</v>
      </c>
      <c r="T48" s="34"/>
      <c r="U48" s="34"/>
      <c r="V48" s="34"/>
      <c r="W48" s="34"/>
      <c r="X48" s="34"/>
      <c r="Y48" s="34"/>
      <c r="Z48" s="34"/>
      <c r="AA48" s="34"/>
      <c r="AE48" s="34"/>
      <c r="AF48" s="46" t="s">
        <v>872</v>
      </c>
      <c r="AG48" s="52">
        <f>(-1*AF39)/AG41</f>
        <v>0</v>
      </c>
      <c r="AH48" s="53" t="s">
        <v>873</v>
      </c>
      <c r="AI48" s="34"/>
      <c r="AJ48" s="34"/>
      <c r="AK48" s="34"/>
      <c r="AL48" s="34"/>
      <c r="AM48" s="34"/>
      <c r="AN48" s="34"/>
      <c r="AO48" s="34"/>
      <c r="AP48" s="34"/>
    </row>
    <row r="49" spans="1:33" x14ac:dyDescent="0.25">
      <c r="B49" s="46" t="s">
        <v>874</v>
      </c>
      <c r="C49" s="207">
        <f>C40/$E$4</f>
        <v>0.42745437500000005</v>
      </c>
      <c r="Q49" s="46" t="s">
        <v>874</v>
      </c>
      <c r="R49" s="207">
        <f>R40/$E$4</f>
        <v>0</v>
      </c>
      <c r="AF49" s="46" t="s">
        <v>874</v>
      </c>
      <c r="AG49" s="207">
        <f>AG40/$E$4</f>
        <v>0</v>
      </c>
    </row>
    <row r="52" spans="1:33" ht="15" customHeight="1" x14ac:dyDescent="0.25">
      <c r="A52" s="452" t="s">
        <v>878</v>
      </c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P52" s="448" t="s">
        <v>773</v>
      </c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</row>
    <row r="53" spans="1:33" ht="15" customHeight="1" x14ac:dyDescent="0.25">
      <c r="A53" s="36" t="s">
        <v>865</v>
      </c>
      <c r="B53" s="37">
        <v>0</v>
      </c>
      <c r="C53" s="37">
        <v>1</v>
      </c>
      <c r="D53" s="37">
        <v>2</v>
      </c>
      <c r="E53" s="37">
        <v>3</v>
      </c>
      <c r="F53" s="37">
        <v>4</v>
      </c>
      <c r="G53" s="37">
        <v>5</v>
      </c>
      <c r="H53" s="37">
        <v>6</v>
      </c>
      <c r="I53" s="37">
        <v>7</v>
      </c>
      <c r="J53" s="37">
        <v>8</v>
      </c>
      <c r="K53" s="37">
        <v>9</v>
      </c>
      <c r="L53" s="37">
        <v>10</v>
      </c>
      <c r="P53" s="36" t="s">
        <v>865</v>
      </c>
      <c r="Q53" s="37">
        <v>0</v>
      </c>
      <c r="R53" s="37">
        <v>1</v>
      </c>
      <c r="S53" s="37">
        <v>2</v>
      </c>
      <c r="T53" s="37">
        <v>3</v>
      </c>
      <c r="U53" s="37">
        <v>4</v>
      </c>
      <c r="V53" s="37">
        <v>5</v>
      </c>
      <c r="W53" s="37">
        <v>6</v>
      </c>
      <c r="X53" s="37">
        <v>7</v>
      </c>
      <c r="Y53" s="37">
        <v>8</v>
      </c>
      <c r="Z53" s="37">
        <v>9</v>
      </c>
      <c r="AA53" s="37">
        <v>10</v>
      </c>
    </row>
    <row r="54" spans="1:33" ht="15" customHeight="1" x14ac:dyDescent="0.25">
      <c r="A54" s="39" t="s">
        <v>866</v>
      </c>
      <c r="B54" s="40">
        <f>-SUMPRODUCT(('Sistemas de Refrigeração'!C3:C981&lt;&gt;"")*'Sistemas de Refrigeração'!AJ3:AJ981)</f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P54" s="39" t="s">
        <v>866</v>
      </c>
      <c r="Q54" s="40">
        <f>-SUMPRODUCT(('Sistemas de Refrigeração'!S3:S981&lt;&gt;"")*'Sistemas de Refrigeração'!AY3:AY981)</f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</row>
    <row r="55" spans="1:33" ht="15" customHeight="1" x14ac:dyDescent="0.25">
      <c r="A55" s="41" t="s">
        <v>867</v>
      </c>
      <c r="B55" s="42">
        <v>0</v>
      </c>
      <c r="C55" s="42">
        <f t="array" ref="C55">SUMPRODUCT(('Sistemas de Refrigeração'!C3:C981&lt;&gt;"")*'Sistemas de Refrigeração'!AI3:AI981)*$E$4</f>
        <v>153.72604836116423</v>
      </c>
      <c r="D55" s="42">
        <f>C55</f>
        <v>153.72604836116423</v>
      </c>
      <c r="E55" s="42">
        <f>C55</f>
        <v>153.72604836116423</v>
      </c>
      <c r="F55" s="42">
        <f>C55</f>
        <v>153.72604836116423</v>
      </c>
      <c r="G55" s="42">
        <f>C55</f>
        <v>153.72604836116423</v>
      </c>
      <c r="H55" s="42">
        <f>C55</f>
        <v>153.72604836116423</v>
      </c>
      <c r="I55" s="42">
        <f>C55</f>
        <v>153.72604836116423</v>
      </c>
      <c r="J55" s="42">
        <f>C55</f>
        <v>153.72604836116423</v>
      </c>
      <c r="K55" s="42">
        <f>C55</f>
        <v>153.72604836116423</v>
      </c>
      <c r="L55" s="42">
        <f>C55</f>
        <v>153.72604836116423</v>
      </c>
      <c r="P55" s="41" t="s">
        <v>867</v>
      </c>
      <c r="Q55" s="42">
        <v>0</v>
      </c>
      <c r="R55" s="42">
        <f t="array" ref="R55">SUMPRODUCT(('Sistemas de Refrigeração'!S3:S981&lt;&gt;"")*'Sistemas de Refrigeração'!AX3:AX981)*$E$4</f>
        <v>0</v>
      </c>
      <c r="S55" s="42">
        <f>R55</f>
        <v>0</v>
      </c>
      <c r="T55" s="42">
        <f>R55</f>
        <v>0</v>
      </c>
      <c r="U55" s="42">
        <f>R55</f>
        <v>0</v>
      </c>
      <c r="V55" s="42">
        <f>R55</f>
        <v>0</v>
      </c>
      <c r="W55" s="42">
        <f>R55</f>
        <v>0</v>
      </c>
      <c r="X55" s="42">
        <f>R55</f>
        <v>0</v>
      </c>
      <c r="Y55" s="42">
        <f>R55</f>
        <v>0</v>
      </c>
      <c r="Z55" s="42">
        <f>R55</f>
        <v>0</v>
      </c>
      <c r="AA55" s="42">
        <f>R55</f>
        <v>0</v>
      </c>
    </row>
    <row r="56" spans="1:33" ht="15" customHeight="1" x14ac:dyDescent="0.25">
      <c r="A56" s="44" t="s">
        <v>868</v>
      </c>
      <c r="B56" s="45">
        <f t="shared" ref="B56:L56" si="16">SUM(B54:B55)</f>
        <v>0</v>
      </c>
      <c r="C56" s="45">
        <f t="shared" si="16"/>
        <v>153.72604836116423</v>
      </c>
      <c r="D56" s="45">
        <f t="shared" si="16"/>
        <v>153.72604836116423</v>
      </c>
      <c r="E56" s="45">
        <f t="shared" si="16"/>
        <v>153.72604836116423</v>
      </c>
      <c r="F56" s="45">
        <f t="shared" si="16"/>
        <v>153.72604836116423</v>
      </c>
      <c r="G56" s="45">
        <f t="shared" si="16"/>
        <v>153.72604836116423</v>
      </c>
      <c r="H56" s="45">
        <f t="shared" si="16"/>
        <v>153.72604836116423</v>
      </c>
      <c r="I56" s="45">
        <f t="shared" si="16"/>
        <v>153.72604836116423</v>
      </c>
      <c r="J56" s="45">
        <f t="shared" si="16"/>
        <v>153.72604836116423</v>
      </c>
      <c r="K56" s="45">
        <f t="shared" si="16"/>
        <v>153.72604836116423</v>
      </c>
      <c r="L56" s="45">
        <f t="shared" si="16"/>
        <v>153.72604836116423</v>
      </c>
      <c r="P56" s="44" t="s">
        <v>868</v>
      </c>
      <c r="Q56" s="45">
        <f t="shared" ref="Q56:AA56" si="17">SUM(Q54:Q55)</f>
        <v>0</v>
      </c>
      <c r="R56" s="45">
        <f t="shared" si="17"/>
        <v>0</v>
      </c>
      <c r="S56" s="45">
        <f t="shared" si="17"/>
        <v>0</v>
      </c>
      <c r="T56" s="45">
        <f t="shared" si="17"/>
        <v>0</v>
      </c>
      <c r="U56" s="45">
        <f t="shared" si="17"/>
        <v>0</v>
      </c>
      <c r="V56" s="45">
        <f t="shared" si="17"/>
        <v>0</v>
      </c>
      <c r="W56" s="45">
        <f t="shared" si="17"/>
        <v>0</v>
      </c>
      <c r="X56" s="45">
        <f t="shared" si="17"/>
        <v>0</v>
      </c>
      <c r="Y56" s="45">
        <f t="shared" si="17"/>
        <v>0</v>
      </c>
      <c r="Z56" s="45">
        <f t="shared" si="17"/>
        <v>0</v>
      </c>
      <c r="AA56" s="45">
        <f t="shared" si="17"/>
        <v>0</v>
      </c>
    </row>
    <row r="57" spans="1:33" ht="15" customHeight="1" x14ac:dyDescent="0.25">
      <c r="A57" s="34"/>
      <c r="B57" s="34"/>
      <c r="C57" s="34"/>
      <c r="D57" s="35"/>
      <c r="E57" s="34"/>
      <c r="F57" s="34"/>
      <c r="G57" s="34"/>
      <c r="H57" s="34"/>
      <c r="I57" s="34"/>
      <c r="J57" s="34"/>
      <c r="K57" s="34"/>
      <c r="L57" s="34"/>
      <c r="P57" s="34"/>
      <c r="Q57" s="34"/>
      <c r="R57" s="34"/>
      <c r="S57" s="35"/>
      <c r="T57" s="34"/>
      <c r="U57" s="34"/>
      <c r="V57" s="34"/>
      <c r="W57" s="34"/>
      <c r="X57" s="34"/>
      <c r="Y57" s="34"/>
      <c r="Z57" s="34"/>
      <c r="AA57" s="34"/>
    </row>
    <row r="58" spans="1:33" ht="15" customHeight="1" x14ac:dyDescent="0.25">
      <c r="A58" s="34"/>
      <c r="B58" s="45">
        <f>B56/(1+$B$5)^(B53)</f>
        <v>0</v>
      </c>
      <c r="C58" s="45">
        <f t="shared" ref="C58:L58" si="18">C56/(1+$B$5)^(C53)+B58</f>
        <v>133.67482466188196</v>
      </c>
      <c r="D58" s="45">
        <f t="shared" si="18"/>
        <v>249.91380262873582</v>
      </c>
      <c r="E58" s="45">
        <f t="shared" si="18"/>
        <v>350.99117477382617</v>
      </c>
      <c r="F58" s="45">
        <f t="shared" si="18"/>
        <v>438.88454185651347</v>
      </c>
      <c r="G58" s="45">
        <f t="shared" si="18"/>
        <v>515.31355671102415</v>
      </c>
      <c r="H58" s="45">
        <f t="shared" si="18"/>
        <v>581.7735696279899</v>
      </c>
      <c r="I58" s="45">
        <f t="shared" si="18"/>
        <v>639.56488520796017</v>
      </c>
      <c r="J58" s="45">
        <f t="shared" si="18"/>
        <v>689.81820310358648</v>
      </c>
      <c r="K58" s="45">
        <f t="shared" si="18"/>
        <v>733.51674040413116</v>
      </c>
      <c r="L58" s="45">
        <f t="shared" si="18"/>
        <v>771.51546849156125</v>
      </c>
      <c r="P58" s="34"/>
      <c r="Q58" s="45">
        <f>Q56/(1+$B$5)^(Q53)</f>
        <v>0</v>
      </c>
      <c r="R58" s="45">
        <f t="shared" ref="R58:AA58" si="19">R56/(1+$B$5)^(R53)+Q58</f>
        <v>0</v>
      </c>
      <c r="S58" s="45">
        <f t="shared" si="19"/>
        <v>0</v>
      </c>
      <c r="T58" s="45">
        <f t="shared" si="19"/>
        <v>0</v>
      </c>
      <c r="U58" s="45">
        <f t="shared" si="19"/>
        <v>0</v>
      </c>
      <c r="V58" s="45">
        <f t="shared" si="19"/>
        <v>0</v>
      </c>
      <c r="W58" s="45">
        <f t="shared" si="19"/>
        <v>0</v>
      </c>
      <c r="X58" s="45">
        <f t="shared" si="19"/>
        <v>0</v>
      </c>
      <c r="Y58" s="45">
        <f t="shared" si="19"/>
        <v>0</v>
      </c>
      <c r="Z58" s="45">
        <f t="shared" si="19"/>
        <v>0</v>
      </c>
      <c r="AA58" s="45">
        <f t="shared" si="19"/>
        <v>0</v>
      </c>
    </row>
    <row r="59" spans="1:33" ht="15" customHeight="1" x14ac:dyDescent="0.25">
      <c r="A59" s="34"/>
      <c r="B59" s="34">
        <f t="array" ref="B59">SUMPRODUCT(('Sistemas de Refrigeração'!C3:C981&lt;&gt;"")*'Sistemas de Refrigeração'!AJ3:AJ981)</f>
        <v>0</v>
      </c>
      <c r="C59" s="34"/>
      <c r="D59" s="35"/>
      <c r="E59" s="34"/>
      <c r="F59" s="34"/>
      <c r="G59" s="34"/>
      <c r="H59" s="34"/>
      <c r="I59" s="34"/>
      <c r="J59" s="34"/>
      <c r="K59" s="34"/>
      <c r="L59" s="34"/>
      <c r="P59" s="34"/>
      <c r="Q59" s="34">
        <f t="array" ref="Q59">SUMPRODUCT(('Sistemas de Refrigeração'!S3:S981&lt;&gt;"")*'Sistemas de Refrigeração'!AY3:AY981)</f>
        <v>0</v>
      </c>
      <c r="R59" s="34"/>
      <c r="S59" s="35"/>
      <c r="T59" s="34"/>
      <c r="U59" s="34"/>
      <c r="V59" s="34"/>
      <c r="W59" s="34"/>
      <c r="X59" s="34"/>
      <c r="Y59" s="34"/>
      <c r="Z59" s="34"/>
      <c r="AA59" s="34"/>
    </row>
    <row r="60" spans="1:33" ht="15" customHeight="1" x14ac:dyDescent="0.25">
      <c r="A60" s="46"/>
      <c r="B60" s="46" t="s">
        <v>869</v>
      </c>
      <c r="C60" s="47" t="str">
        <f>IFERROR(IRR(B56:L56),"N/A")</f>
        <v>N/A</v>
      </c>
      <c r="D60" s="48"/>
      <c r="E60" s="46"/>
      <c r="F60" s="49"/>
      <c r="G60" s="34"/>
      <c r="H60" s="34"/>
      <c r="I60" s="34"/>
      <c r="J60" s="34"/>
      <c r="K60" s="34"/>
      <c r="L60" s="34"/>
      <c r="P60" s="46"/>
      <c r="Q60" s="46" t="s">
        <v>869</v>
      </c>
      <c r="R60" s="47" t="str">
        <f>IFERROR(IRR(Q56:AA56),"N/A")</f>
        <v>N/A</v>
      </c>
      <c r="S60" s="48"/>
      <c r="T60" s="46"/>
      <c r="U60" s="49"/>
      <c r="V60" s="34"/>
      <c r="W60" s="34"/>
      <c r="X60" s="34"/>
      <c r="Y60" s="34"/>
      <c r="Z60" s="34"/>
      <c r="AA60" s="34"/>
    </row>
    <row r="61" spans="1:33" ht="15" customHeight="1" x14ac:dyDescent="0.25">
      <c r="A61" s="34"/>
      <c r="B61" s="46" t="s">
        <v>870</v>
      </c>
      <c r="C61" s="50" t="e">
        <f>C62/-B58</f>
        <v>#DIV/0!</v>
      </c>
      <c r="D61" s="35"/>
      <c r="E61" s="46"/>
      <c r="F61" s="51"/>
      <c r="G61" s="34"/>
      <c r="H61" s="34"/>
      <c r="I61" s="34"/>
      <c r="J61" s="34"/>
      <c r="K61" s="34"/>
      <c r="L61" s="34"/>
      <c r="P61" s="34"/>
      <c r="Q61" s="46" t="s">
        <v>870</v>
      </c>
      <c r="R61" s="50" t="e">
        <f>R62/-Q58</f>
        <v>#DIV/0!</v>
      </c>
      <c r="S61" s="35"/>
      <c r="T61" s="46"/>
      <c r="U61" s="51"/>
      <c r="V61" s="34"/>
      <c r="W61" s="34"/>
      <c r="X61" s="34"/>
      <c r="Y61" s="34"/>
      <c r="Z61" s="34"/>
      <c r="AA61" s="34"/>
    </row>
    <row r="62" spans="1:33" ht="15" customHeight="1" x14ac:dyDescent="0.25">
      <c r="A62" s="34"/>
      <c r="B62" s="46" t="s">
        <v>871</v>
      </c>
      <c r="C62" s="49">
        <f>B56+NPV($B$5,C56:L56)</f>
        <v>771.51546849156125</v>
      </c>
      <c r="D62" s="35"/>
      <c r="E62" s="34"/>
      <c r="F62" s="34"/>
      <c r="G62" s="34"/>
      <c r="H62" s="34"/>
      <c r="I62" s="34"/>
      <c r="J62" s="34"/>
      <c r="K62" s="34"/>
      <c r="L62" s="34"/>
      <c r="P62" s="34"/>
      <c r="Q62" s="46" t="s">
        <v>871</v>
      </c>
      <c r="R62" s="49">
        <f>Q56+NPV($B$5,R56:AA56)</f>
        <v>0</v>
      </c>
      <c r="S62" s="35"/>
      <c r="T62" s="34"/>
      <c r="U62" s="34"/>
      <c r="V62" s="34"/>
      <c r="W62" s="34"/>
      <c r="X62" s="34"/>
      <c r="Y62" s="34"/>
      <c r="Z62" s="34"/>
      <c r="AA62" s="34"/>
    </row>
    <row r="63" spans="1:33" ht="15" customHeight="1" x14ac:dyDescent="0.25">
      <c r="A63" s="34"/>
      <c r="B63" s="46" t="s">
        <v>872</v>
      </c>
      <c r="C63" s="52">
        <f>(-1*B54)/C56</f>
        <v>0</v>
      </c>
      <c r="D63" s="53" t="s">
        <v>873</v>
      </c>
      <c r="E63" s="34"/>
      <c r="F63" s="34"/>
      <c r="G63" s="34"/>
      <c r="H63" s="34"/>
      <c r="I63" s="34"/>
      <c r="J63" s="34"/>
      <c r="K63" s="34"/>
      <c r="L63" s="34"/>
      <c r="P63" s="34"/>
      <c r="Q63" s="46" t="s">
        <v>872</v>
      </c>
      <c r="R63" s="52" t="e">
        <f>(-1*Q54)/R56</f>
        <v>#DIV/0!</v>
      </c>
      <c r="S63" s="53" t="s">
        <v>873</v>
      </c>
      <c r="T63" s="34"/>
      <c r="U63" s="34"/>
      <c r="V63" s="34"/>
      <c r="W63" s="34"/>
      <c r="X63" s="34"/>
      <c r="Y63" s="34"/>
      <c r="Z63" s="34"/>
      <c r="AA63" s="34"/>
    </row>
    <row r="64" spans="1:33" x14ac:dyDescent="0.25">
      <c r="B64" s="46" t="s">
        <v>874</v>
      </c>
      <c r="C64" s="207">
        <f>C55/$E$4</f>
        <v>7.7760000000000051E-2</v>
      </c>
      <c r="Q64" s="46" t="s">
        <v>874</v>
      </c>
      <c r="R64" s="207">
        <f>R55/$E$4</f>
        <v>0</v>
      </c>
    </row>
  </sheetData>
  <mergeCells count="25">
    <mergeCell ref="AE22:AP22"/>
    <mergeCell ref="AW13:AY13"/>
    <mergeCell ref="P22:AA22"/>
    <mergeCell ref="A2:B2"/>
    <mergeCell ref="D9:E9"/>
    <mergeCell ref="AW17:AY17"/>
    <mergeCell ref="AS20:AU20"/>
    <mergeCell ref="AR12:AY12"/>
    <mergeCell ref="J2:K2"/>
    <mergeCell ref="P52:AA52"/>
    <mergeCell ref="AW15:AY15"/>
    <mergeCell ref="G2:H2"/>
    <mergeCell ref="A37:L37"/>
    <mergeCell ref="AW18:AY18"/>
    <mergeCell ref="AW14:AY14"/>
    <mergeCell ref="D2:E2"/>
    <mergeCell ref="J6:K6"/>
    <mergeCell ref="D13:E13"/>
    <mergeCell ref="A22:L22"/>
    <mergeCell ref="P37:AA37"/>
    <mergeCell ref="AW19:AY20"/>
    <mergeCell ref="AV19:AV20"/>
    <mergeCell ref="AW16:AY16"/>
    <mergeCell ref="A52:L52"/>
    <mergeCell ref="AE37:AP37"/>
  </mergeCells>
  <conditionalFormatting sqref="E12">
    <cfRule type="colorScale" priority="1">
      <colorScale>
        <cfvo type="min"/>
        <cfvo type="num" val="0.8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L1" zoomScale="110" zoomScaleNormal="110" workbookViewId="0">
      <selection activeCell="I7" sqref="I7"/>
    </sheetView>
  </sheetViews>
  <sheetFormatPr defaultColWidth="8.5703125" defaultRowHeight="15" x14ac:dyDescent="0.25"/>
  <cols>
    <col min="1" max="1" width="14" customWidth="1"/>
    <col min="2" max="2" width="23.140625" customWidth="1"/>
    <col min="3" max="3" width="13.5703125" customWidth="1"/>
    <col min="4" max="4" width="20.140625" customWidth="1"/>
    <col min="6" max="6" width="28.5703125" customWidth="1"/>
    <col min="7" max="7" width="23.140625" customWidth="1"/>
    <col min="8" max="8" width="27.140625" customWidth="1"/>
    <col min="9" max="9" width="11.7109375" customWidth="1"/>
    <col min="10" max="10" width="22.7109375" customWidth="1"/>
    <col min="11" max="11" width="20.140625" customWidth="1"/>
    <col min="12" max="12" width="68.28515625" customWidth="1"/>
    <col min="14" max="14" width="13.5703125" customWidth="1"/>
    <col min="15" max="15" width="35.85546875" customWidth="1"/>
    <col min="16" max="16" width="19.28515625" customWidth="1"/>
    <col min="17" max="17" width="22.42578125" customWidth="1"/>
    <col min="18" max="18" width="20.42578125" customWidth="1"/>
    <col min="20" max="20" width="12.5703125" customWidth="1"/>
    <col min="21" max="21" width="20.42578125" customWidth="1"/>
    <col min="22" max="22" width="24.28515625" customWidth="1"/>
    <col min="24" max="24" width="28.7109375" customWidth="1"/>
  </cols>
  <sheetData>
    <row r="1" spans="1:24" ht="27.75" customHeight="1" x14ac:dyDescent="0.25">
      <c r="A1" s="76" t="s">
        <v>879</v>
      </c>
      <c r="B1" s="76" t="s">
        <v>880</v>
      </c>
      <c r="C1" s="76" t="s">
        <v>881</v>
      </c>
      <c r="D1" s="76" t="s">
        <v>882</v>
      </c>
      <c r="E1" s="66"/>
      <c r="F1" s="77" t="s">
        <v>879</v>
      </c>
      <c r="G1" s="77" t="s">
        <v>880</v>
      </c>
      <c r="H1" s="77" t="s">
        <v>883</v>
      </c>
      <c r="I1" s="77" t="s">
        <v>881</v>
      </c>
      <c r="J1" s="78" t="s">
        <v>884</v>
      </c>
      <c r="K1" s="77" t="s">
        <v>885</v>
      </c>
      <c r="L1" s="77" t="s">
        <v>886</v>
      </c>
      <c r="M1" s="66"/>
      <c r="N1" s="79" t="s">
        <v>879</v>
      </c>
      <c r="O1" s="79" t="s">
        <v>880</v>
      </c>
      <c r="P1" s="80" t="s">
        <v>887</v>
      </c>
      <c r="Q1" s="79" t="s">
        <v>679</v>
      </c>
      <c r="R1" s="81" t="s">
        <v>888</v>
      </c>
      <c r="S1" s="79" t="s">
        <v>889</v>
      </c>
      <c r="T1" s="79" t="s">
        <v>650</v>
      </c>
      <c r="U1" s="79" t="s">
        <v>885</v>
      </c>
      <c r="V1" s="79" t="s">
        <v>886</v>
      </c>
      <c r="X1" s="82" t="s">
        <v>890</v>
      </c>
    </row>
    <row r="2" spans="1:24" ht="15" customHeight="1" x14ac:dyDescent="0.25">
      <c r="A2" t="s">
        <v>807</v>
      </c>
      <c r="F2" s="83" t="s">
        <v>891</v>
      </c>
      <c r="G2" s="83" t="s">
        <v>637</v>
      </c>
      <c r="H2" s="84" t="s">
        <v>645</v>
      </c>
      <c r="I2" s="84">
        <v>9000</v>
      </c>
      <c r="J2" s="85">
        <v>8.3000000000000007</v>
      </c>
      <c r="K2" s="86">
        <v>3300</v>
      </c>
      <c r="L2" s="83" t="s">
        <v>892</v>
      </c>
      <c r="N2" s="83" t="s">
        <v>796</v>
      </c>
      <c r="O2" s="83" t="s">
        <v>664</v>
      </c>
      <c r="P2" s="87">
        <v>240</v>
      </c>
      <c r="Q2" s="88">
        <v>110</v>
      </c>
      <c r="R2" s="87">
        <v>23.3</v>
      </c>
      <c r="S2" s="84">
        <v>0.3</v>
      </c>
      <c r="T2" s="89" t="s">
        <v>670</v>
      </c>
      <c r="U2" s="86">
        <v>1799</v>
      </c>
      <c r="V2" s="83" t="s">
        <v>893</v>
      </c>
      <c r="X2" s="90">
        <v>0.15</v>
      </c>
    </row>
    <row r="3" spans="1:24" ht="15" customHeight="1" x14ac:dyDescent="0.25">
      <c r="F3" s="83" t="s">
        <v>891</v>
      </c>
      <c r="G3" s="83" t="s">
        <v>637</v>
      </c>
      <c r="H3" s="84" t="s">
        <v>645</v>
      </c>
      <c r="I3" s="84">
        <v>12000</v>
      </c>
      <c r="J3" s="85">
        <v>8.3000000000000007</v>
      </c>
      <c r="K3" s="86">
        <v>3583</v>
      </c>
      <c r="L3" s="83" t="s">
        <v>894</v>
      </c>
      <c r="N3" s="83" t="s">
        <v>796</v>
      </c>
      <c r="O3" s="83" t="s">
        <v>664</v>
      </c>
      <c r="P3" s="87">
        <v>347</v>
      </c>
      <c r="Q3" s="88">
        <v>155</v>
      </c>
      <c r="R3" s="87">
        <v>34.799999999999997</v>
      </c>
      <c r="S3" s="84">
        <v>0.3</v>
      </c>
      <c r="T3" s="89" t="s">
        <v>673</v>
      </c>
      <c r="U3" s="86">
        <v>2735.79</v>
      </c>
      <c r="V3" s="83" t="s">
        <v>895</v>
      </c>
    </row>
    <row r="4" spans="1:24" ht="15" customHeight="1" x14ac:dyDescent="0.25">
      <c r="F4" s="83" t="s">
        <v>891</v>
      </c>
      <c r="G4" s="83" t="s">
        <v>637</v>
      </c>
      <c r="H4" s="84" t="s">
        <v>645</v>
      </c>
      <c r="I4" s="84">
        <v>18000</v>
      </c>
      <c r="J4" s="85">
        <v>7.6</v>
      </c>
      <c r="K4" s="86">
        <v>3603.46</v>
      </c>
      <c r="L4" s="83" t="s">
        <v>896</v>
      </c>
      <c r="N4" s="83" t="s">
        <v>796</v>
      </c>
      <c r="O4" s="83" t="s">
        <v>664</v>
      </c>
      <c r="P4" s="87">
        <v>400</v>
      </c>
      <c r="Q4" s="88">
        <v>170</v>
      </c>
      <c r="R4" s="87">
        <v>37</v>
      </c>
      <c r="S4" s="84">
        <v>0.3</v>
      </c>
      <c r="T4" s="89" t="s">
        <v>661</v>
      </c>
      <c r="U4" s="86">
        <v>2629</v>
      </c>
      <c r="V4" s="83" t="s">
        <v>897</v>
      </c>
    </row>
    <row r="5" spans="1:24" ht="15" customHeight="1" x14ac:dyDescent="0.25">
      <c r="F5" s="83" t="s">
        <v>891</v>
      </c>
      <c r="G5" s="83" t="s">
        <v>637</v>
      </c>
      <c r="H5" s="84" t="s">
        <v>645</v>
      </c>
      <c r="I5" s="84">
        <v>22000</v>
      </c>
      <c r="J5" s="85">
        <v>6.8</v>
      </c>
      <c r="K5" s="86">
        <v>5680.05</v>
      </c>
      <c r="L5" s="83" t="s">
        <v>898</v>
      </c>
      <c r="N5" s="83" t="s">
        <v>796</v>
      </c>
      <c r="O5" s="83" t="s">
        <v>660</v>
      </c>
      <c r="P5" s="87">
        <v>309</v>
      </c>
      <c r="Q5" s="88">
        <v>98</v>
      </c>
      <c r="R5" s="87">
        <v>28.1</v>
      </c>
      <c r="S5" s="84">
        <v>0.4</v>
      </c>
      <c r="T5" s="89" t="s">
        <v>670</v>
      </c>
      <c r="U5" s="86">
        <v>2310.75</v>
      </c>
      <c r="V5" s="83" t="s">
        <v>899</v>
      </c>
    </row>
    <row r="6" spans="1:24" ht="15" customHeight="1" x14ac:dyDescent="0.25">
      <c r="F6" s="83" t="s">
        <v>891</v>
      </c>
      <c r="G6" s="83" t="s">
        <v>637</v>
      </c>
      <c r="H6" s="84" t="s">
        <v>645</v>
      </c>
      <c r="I6" s="84">
        <v>24000</v>
      </c>
      <c r="J6" s="85">
        <v>8.3000000000000007</v>
      </c>
      <c r="K6" s="86">
        <v>5721</v>
      </c>
      <c r="L6" s="83" t="s">
        <v>900</v>
      </c>
      <c r="N6" s="83" t="s">
        <v>796</v>
      </c>
      <c r="O6" s="83" t="s">
        <v>660</v>
      </c>
      <c r="P6" s="87">
        <v>400</v>
      </c>
      <c r="Q6" s="88">
        <v>110</v>
      </c>
      <c r="R6" s="87">
        <v>31.3</v>
      </c>
      <c r="S6" s="84">
        <v>0.4</v>
      </c>
      <c r="T6" s="89" t="s">
        <v>673</v>
      </c>
      <c r="U6" s="86">
        <v>3762.92</v>
      </c>
      <c r="V6" s="83" t="s">
        <v>901</v>
      </c>
    </row>
    <row r="7" spans="1:24" ht="15" customHeight="1" x14ac:dyDescent="0.25">
      <c r="F7" s="83" t="s">
        <v>891</v>
      </c>
      <c r="G7" s="83" t="s">
        <v>637</v>
      </c>
      <c r="H7" s="84" t="s">
        <v>645</v>
      </c>
      <c r="I7" s="84">
        <v>30000</v>
      </c>
      <c r="J7" s="85">
        <v>8.49</v>
      </c>
      <c r="K7" s="86">
        <v>5500</v>
      </c>
      <c r="L7" s="83" t="s">
        <v>902</v>
      </c>
      <c r="N7" s="83" t="s">
        <v>796</v>
      </c>
      <c r="O7" s="83" t="s">
        <v>660</v>
      </c>
      <c r="P7" s="87">
        <v>513</v>
      </c>
      <c r="Q7" s="88">
        <v>125</v>
      </c>
      <c r="R7" s="87">
        <v>35.6</v>
      </c>
      <c r="S7" s="84">
        <v>0.4</v>
      </c>
      <c r="T7" s="89" t="s">
        <v>661</v>
      </c>
      <c r="U7" s="86">
        <v>3499</v>
      </c>
      <c r="V7" s="83" t="s">
        <v>903</v>
      </c>
    </row>
    <row r="8" spans="1:24" ht="15" customHeight="1" x14ac:dyDescent="0.25">
      <c r="F8" s="83" t="s">
        <v>891</v>
      </c>
      <c r="G8" s="83" t="s">
        <v>644</v>
      </c>
      <c r="H8" s="84" t="s">
        <v>645</v>
      </c>
      <c r="I8" s="84">
        <v>18000</v>
      </c>
      <c r="J8" s="85">
        <v>6.5</v>
      </c>
      <c r="K8" s="86">
        <v>6200</v>
      </c>
      <c r="L8" s="83" t="s">
        <v>904</v>
      </c>
      <c r="N8" s="83" t="s">
        <v>796</v>
      </c>
      <c r="O8" s="83" t="s">
        <v>905</v>
      </c>
      <c r="P8" s="89">
        <v>162</v>
      </c>
      <c r="Q8" s="89">
        <v>95</v>
      </c>
      <c r="R8" s="89">
        <v>22.7</v>
      </c>
      <c r="S8" s="84">
        <v>0.4</v>
      </c>
      <c r="T8" s="89" t="s">
        <v>670</v>
      </c>
      <c r="U8" s="86">
        <v>2200</v>
      </c>
      <c r="V8" s="83" t="s">
        <v>906</v>
      </c>
    </row>
    <row r="9" spans="1:24" ht="15" customHeight="1" x14ac:dyDescent="0.25">
      <c r="F9" s="83" t="s">
        <v>891</v>
      </c>
      <c r="G9" s="83" t="s">
        <v>644</v>
      </c>
      <c r="H9" s="84" t="s">
        <v>645</v>
      </c>
      <c r="I9" s="84">
        <v>24000</v>
      </c>
      <c r="J9" s="85">
        <v>7.85</v>
      </c>
      <c r="K9" s="86">
        <v>8934.7800000000007</v>
      </c>
      <c r="L9" s="83" t="s">
        <v>907</v>
      </c>
      <c r="N9" s="83" t="s">
        <v>796</v>
      </c>
      <c r="O9" s="83" t="s">
        <v>905</v>
      </c>
      <c r="P9" s="89">
        <v>234</v>
      </c>
      <c r="Q9" s="89">
        <v>137</v>
      </c>
      <c r="R9" s="89">
        <v>32.9</v>
      </c>
      <c r="S9" s="84">
        <v>0.4</v>
      </c>
      <c r="T9" s="89" t="s">
        <v>673</v>
      </c>
      <c r="U9" s="86">
        <v>2949</v>
      </c>
      <c r="V9" s="83" t="s">
        <v>908</v>
      </c>
    </row>
    <row r="10" spans="1:24" ht="15" customHeight="1" x14ac:dyDescent="0.25">
      <c r="F10" s="83" t="s">
        <v>891</v>
      </c>
      <c r="G10" s="83" t="s">
        <v>644</v>
      </c>
      <c r="H10" s="84" t="s">
        <v>645</v>
      </c>
      <c r="I10" s="84">
        <v>30000</v>
      </c>
      <c r="J10" s="85">
        <v>6.51</v>
      </c>
      <c r="K10" s="86">
        <v>9666</v>
      </c>
      <c r="L10" s="83" t="s">
        <v>909</v>
      </c>
      <c r="N10" s="83" t="s">
        <v>796</v>
      </c>
      <c r="O10" s="83" t="s">
        <v>905</v>
      </c>
      <c r="P10" s="89">
        <v>400</v>
      </c>
      <c r="Q10" s="89">
        <v>180</v>
      </c>
      <c r="R10" s="89">
        <v>48</v>
      </c>
      <c r="S10" s="84">
        <v>0.4</v>
      </c>
      <c r="T10" s="89" t="s">
        <v>661</v>
      </c>
      <c r="U10" s="86">
        <v>4999</v>
      </c>
      <c r="V10" s="83" t="s">
        <v>910</v>
      </c>
    </row>
    <row r="11" spans="1:24" ht="15" customHeight="1" x14ac:dyDescent="0.25">
      <c r="F11" s="83" t="s">
        <v>891</v>
      </c>
      <c r="G11" s="83" t="s">
        <v>644</v>
      </c>
      <c r="H11" s="84" t="s">
        <v>645</v>
      </c>
      <c r="I11" s="84">
        <v>36000</v>
      </c>
      <c r="J11" s="85">
        <v>5.61</v>
      </c>
      <c r="K11" s="86">
        <v>8299</v>
      </c>
      <c r="L11" s="83" t="s">
        <v>911</v>
      </c>
      <c r="N11" s="83" t="s">
        <v>796</v>
      </c>
      <c r="O11" s="83" t="s">
        <v>912</v>
      </c>
      <c r="P11" s="89">
        <v>80</v>
      </c>
      <c r="Q11" s="89">
        <v>65</v>
      </c>
      <c r="R11" s="89">
        <v>19</v>
      </c>
      <c r="S11" s="84">
        <v>0.3</v>
      </c>
      <c r="T11" s="89" t="s">
        <v>670</v>
      </c>
      <c r="U11" s="86">
        <v>1300</v>
      </c>
      <c r="V11" s="83" t="s">
        <v>913</v>
      </c>
    </row>
    <row r="12" spans="1:24" ht="15" customHeight="1" x14ac:dyDescent="0.25">
      <c r="F12" s="83" t="s">
        <v>891</v>
      </c>
      <c r="G12" s="83" t="s">
        <v>644</v>
      </c>
      <c r="H12" s="84" t="s">
        <v>645</v>
      </c>
      <c r="I12" s="84">
        <v>48000</v>
      </c>
      <c r="J12" s="85">
        <v>5.81</v>
      </c>
      <c r="K12" s="86">
        <v>11655.06</v>
      </c>
      <c r="L12" s="83" t="s">
        <v>914</v>
      </c>
      <c r="N12" s="83" t="s">
        <v>796</v>
      </c>
      <c r="O12" s="83" t="s">
        <v>672</v>
      </c>
      <c r="P12" s="89">
        <v>50</v>
      </c>
      <c r="Q12" s="89">
        <v>180</v>
      </c>
      <c r="R12" s="89">
        <v>18</v>
      </c>
      <c r="S12" s="84">
        <v>0.5</v>
      </c>
      <c r="T12" s="89" t="s">
        <v>673</v>
      </c>
      <c r="U12" s="86">
        <v>2100</v>
      </c>
      <c r="V12" s="83" t="s">
        <v>915</v>
      </c>
    </row>
    <row r="13" spans="1:24" ht="15" customHeight="1" x14ac:dyDescent="0.25">
      <c r="F13" s="83" t="s">
        <v>891</v>
      </c>
      <c r="G13" s="83" t="s">
        <v>644</v>
      </c>
      <c r="H13" s="84" t="s">
        <v>645</v>
      </c>
      <c r="I13" s="84">
        <v>57000</v>
      </c>
      <c r="J13" s="85">
        <v>5.57</v>
      </c>
      <c r="K13" s="86">
        <v>13297.11</v>
      </c>
      <c r="L13" s="83" t="s">
        <v>916</v>
      </c>
    </row>
    <row r="14" spans="1:24" ht="15" customHeight="1" x14ac:dyDescent="0.25">
      <c r="F14" s="83" t="s">
        <v>891</v>
      </c>
      <c r="G14" s="83" t="s">
        <v>644</v>
      </c>
      <c r="H14" s="84" t="s">
        <v>645</v>
      </c>
      <c r="I14" s="84">
        <v>60000</v>
      </c>
      <c r="J14" s="85">
        <v>5.5</v>
      </c>
      <c r="K14" s="86">
        <v>10076.67</v>
      </c>
      <c r="L14" s="83" t="s">
        <v>917</v>
      </c>
    </row>
    <row r="15" spans="1:24" ht="15" customHeight="1" x14ac:dyDescent="0.25">
      <c r="F15" s="83" t="s">
        <v>891</v>
      </c>
      <c r="G15" s="83" t="s">
        <v>918</v>
      </c>
      <c r="H15" s="84" t="s">
        <v>645</v>
      </c>
      <c r="I15" s="84">
        <v>24000</v>
      </c>
      <c r="J15" s="85">
        <v>6.1</v>
      </c>
      <c r="K15" s="86">
        <v>11999</v>
      </c>
      <c r="L15" s="83" t="s">
        <v>919</v>
      </c>
    </row>
    <row r="16" spans="1:24" ht="15" customHeight="1" x14ac:dyDescent="0.25">
      <c r="F16" s="83" t="s">
        <v>891</v>
      </c>
      <c r="G16" s="83" t="s">
        <v>918</v>
      </c>
      <c r="H16" s="84" t="s">
        <v>645</v>
      </c>
      <c r="I16" s="84">
        <v>30000</v>
      </c>
      <c r="J16" s="85">
        <v>5.8</v>
      </c>
      <c r="K16" s="86">
        <v>14039</v>
      </c>
      <c r="L16" s="83" t="s">
        <v>920</v>
      </c>
    </row>
    <row r="17" spans="6:12" ht="15" customHeight="1" x14ac:dyDescent="0.25">
      <c r="F17" s="83" t="s">
        <v>891</v>
      </c>
      <c r="G17" s="83" t="s">
        <v>918</v>
      </c>
      <c r="H17" s="84" t="s">
        <v>645</v>
      </c>
      <c r="I17" s="84">
        <v>36000</v>
      </c>
      <c r="J17" s="85">
        <v>5.5</v>
      </c>
      <c r="K17" s="86">
        <v>15864.05</v>
      </c>
      <c r="L17" s="83" t="s">
        <v>921</v>
      </c>
    </row>
    <row r="18" spans="6:12" ht="15" customHeight="1" x14ac:dyDescent="0.25">
      <c r="F18" s="83" t="s">
        <v>891</v>
      </c>
      <c r="G18" s="83" t="s">
        <v>918</v>
      </c>
      <c r="H18" s="84" t="s">
        <v>645</v>
      </c>
      <c r="I18" s="84">
        <v>48000</v>
      </c>
      <c r="J18" s="85">
        <v>5.4</v>
      </c>
      <c r="K18" s="86">
        <v>17748</v>
      </c>
      <c r="L18" s="83" t="s">
        <v>922</v>
      </c>
    </row>
    <row r="19" spans="6:12" ht="15" customHeight="1" x14ac:dyDescent="0.25">
      <c r="F19" s="83" t="s">
        <v>891</v>
      </c>
      <c r="G19" s="83" t="s">
        <v>918</v>
      </c>
      <c r="H19" s="84" t="s">
        <v>645</v>
      </c>
      <c r="I19" s="84">
        <v>60000</v>
      </c>
      <c r="J19" s="85">
        <v>5.2</v>
      </c>
      <c r="K19" s="86">
        <v>17749.8</v>
      </c>
      <c r="L19" s="83" t="s">
        <v>923</v>
      </c>
    </row>
    <row r="50" spans="18:18" ht="15" customHeight="1" x14ac:dyDescent="0.25">
      <c r="R50" t="s">
        <v>776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6fe9ca-0130-40eb-b7aa-976b9b5602a7" xsi:nil="true"/>
    <lcf76f155ced4ddcb4097134ff3c332f xmlns="e02a53f2-8dda-403f-9490-c1a71246ec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E155736BC1343AE28F53AD643AEE3" ma:contentTypeVersion="19" ma:contentTypeDescription="Crie um novo documento." ma:contentTypeScope="" ma:versionID="1dd7e66fba81384629123a79c2d687be">
  <xsd:schema xmlns:xsd="http://www.w3.org/2001/XMLSchema" xmlns:xs="http://www.w3.org/2001/XMLSchema" xmlns:p="http://schemas.microsoft.com/office/2006/metadata/properties" xmlns:ns2="e02a53f2-8dda-403f-9490-c1a71246ecdb" xmlns:ns3="8e6fe9ca-0130-40eb-b7aa-976b9b5602a7" targetNamespace="http://schemas.microsoft.com/office/2006/metadata/properties" ma:root="true" ma:fieldsID="74dd6782f29f4ae1c218496b09832564" ns2:_="" ns3:_="">
    <xsd:import namespace="e02a53f2-8dda-403f-9490-c1a71246ecdb"/>
    <xsd:import namespace="8e6fe9ca-0130-40eb-b7aa-976b9b560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a53f2-8dda-403f-9490-c1a71246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c04a941-4cd0-41f0-8594-6160c24e72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e9ca-0130-40eb-b7aa-976b9b5602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223d0a2-ba38-4499-b496-4ba108da7aac}" ma:internalName="TaxCatchAll" ma:showField="CatchAllData" ma:web="8e6fe9ca-0130-40eb-b7aa-976b9b560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DC7452-96B9-423E-B90A-5C7CEFC37BAF}">
  <ds:schemaRefs>
    <ds:schemaRef ds:uri="http://schemas.microsoft.com/office/2006/metadata/properties"/>
    <ds:schemaRef ds:uri="http://schemas.microsoft.com/office/infopath/2007/PartnerControls"/>
    <ds:schemaRef ds:uri="8e6fe9ca-0130-40eb-b7aa-976b9b5602a7"/>
    <ds:schemaRef ds:uri="e02a53f2-8dda-403f-9490-c1a71246ecdb"/>
  </ds:schemaRefs>
</ds:datastoreItem>
</file>

<file path=customXml/itemProps2.xml><?xml version="1.0" encoding="utf-8"?>
<ds:datastoreItem xmlns:ds="http://schemas.openxmlformats.org/officeDocument/2006/customXml" ds:itemID="{9301ECE3-B648-4F01-83D5-8C6931204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a53f2-8dda-403f-9490-c1a71246ecdb"/>
    <ds:schemaRef ds:uri="8e6fe9ca-0130-40eb-b7aa-976b9b560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FC0079-E555-4CFB-A80D-5B27A7F59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Tabela de Transferência</vt:lpstr>
      <vt:lpstr>FATURAS</vt:lpstr>
      <vt:lpstr>UC_DADOS</vt:lpstr>
      <vt:lpstr>Sistemas de Cond. Ambiental</vt:lpstr>
      <vt:lpstr>Sistemas de Refrigeração</vt:lpstr>
      <vt:lpstr>Sistemas de Iluminação</vt:lpstr>
      <vt:lpstr>Sistemas de Motor</vt:lpstr>
      <vt:lpstr>Sistemas de Aquecimento de Água</vt:lpstr>
      <vt:lpstr>Sistemas Solar Fotovoltaico</vt:lpstr>
      <vt:lpstr>Sistemas Outros</vt:lpstr>
      <vt:lpstr>TABELAS_RESUMO_2</vt:lpstr>
      <vt:lpstr>TABELAS_RESUMO</vt:lpstr>
      <vt:lpstr>CONSUMO_EQP</vt:lpstr>
      <vt:lpstr>Análise Econômica</vt:lpstr>
      <vt:lpstr>EQUIPAMENTOS_EFICIENTES (BDD)</vt:lpstr>
      <vt:lpstr>'Sistemas de Cond. Ambiental'!Área_de_Impressão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Carvalho</dc:creator>
  <cp:keywords/>
  <dc:description/>
  <cp:lastModifiedBy>Andre Carvalho</cp:lastModifiedBy>
  <cp:revision>4</cp:revision>
  <dcterms:created xsi:type="dcterms:W3CDTF">2026-03-24T14:02:37Z</dcterms:created>
  <dcterms:modified xsi:type="dcterms:W3CDTF">2026-05-25T20:41:28Z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0x010100F35E155736BC1343AE28F53AD643AEE3</vt:lpwstr>
  </property>
  <property fmtid="{D5CDD505-2E9C-101B-9397-08002B2CF9AE}" pid="3" name="MediaServiceImageTags">
    <vt:lpwstr/>
  </property>
</Properties>
</file>